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KVB\Desktop\Course\BTA\"/>
    </mc:Choice>
  </mc:AlternateContent>
  <xr:revisionPtr revIDLastSave="0" documentId="13_ncr:1_{50376815-9B7F-42FB-A643-11125CAAC4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nquiry Bank" sheetId="4" r:id="rId1"/>
    <sheet name="MUST WIN" sheetId="7" state="hidden" r:id="rId2"/>
    <sheet name="Order Received" sheetId="5" state="hidden" r:id="rId3"/>
    <sheet name="Order Lost" sheetId="6" state="hidden" r:id="rId4"/>
    <sheet name="Lost Analysis" sheetId="2" state="hidden" r:id="rId5"/>
    <sheet name="Received Order" sheetId="3" state="hidden" r:id="rId6"/>
  </sheets>
  <definedNames>
    <definedName name="_xlnm._FilterDatabase" localSheetId="0" hidden="1">'Enquiry Bank'!$B$2:$DA$55</definedName>
    <definedName name="_xlnm._FilterDatabase" localSheetId="4" hidden="1">'Lost Analysis'!$A$2:$M$14</definedName>
    <definedName name="_xlnm._FilterDatabase" localSheetId="1" hidden="1">'MUST WIN'!$A$1:$N$43</definedName>
    <definedName name="_xlnm._FilterDatabase" localSheetId="2" hidden="1">'Order Received'!$A$5:$K$68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5" i="4" l="1"/>
  <c r="J65" i="4"/>
  <c r="K65" i="4"/>
  <c r="L65" i="4"/>
  <c r="H65" i="4"/>
  <c r="H61" i="4"/>
  <c r="H62" i="4"/>
  <c r="H63" i="4"/>
  <c r="J43" i="7" l="1"/>
  <c r="K43" i="7"/>
  <c r="G43" i="7"/>
  <c r="H43" i="7"/>
  <c r="I43" i="7"/>
  <c r="F43" i="7"/>
</calcChain>
</file>

<file path=xl/sharedStrings.xml><?xml version="1.0" encoding="utf-8"?>
<sst xmlns="http://schemas.openxmlformats.org/spreadsheetml/2006/main" count="1124" uniqueCount="393">
  <si>
    <t>Sr. No.</t>
  </si>
  <si>
    <t>Month</t>
  </si>
  <si>
    <t>CUSTOMER</t>
  </si>
  <si>
    <t>PRODUCT GRP CON/LED</t>
  </si>
  <si>
    <t>Product INDL/Street/COM/HM</t>
  </si>
  <si>
    <t>Qty</t>
  </si>
  <si>
    <t>Val (Lacs)</t>
  </si>
  <si>
    <t>Contractor</t>
  </si>
  <si>
    <t>LOST ORDER ANYLYSIS</t>
  </si>
  <si>
    <t>OP</t>
  </si>
  <si>
    <t>Place</t>
  </si>
  <si>
    <t>Dealer</t>
  </si>
  <si>
    <t>QTY</t>
  </si>
  <si>
    <t>WHOM</t>
  </si>
  <si>
    <t>REASONS - Analysis</t>
  </si>
  <si>
    <t>ORDER RECEIVED</t>
  </si>
  <si>
    <t>SR.                 NO.</t>
  </si>
  <si>
    <t>MONTH</t>
  </si>
  <si>
    <t>PLACE</t>
  </si>
  <si>
    <t>GRP</t>
  </si>
  <si>
    <t>VALUE                 (LACS)</t>
  </si>
  <si>
    <t>LED/CON</t>
  </si>
  <si>
    <t xml:space="preserve">Month </t>
  </si>
  <si>
    <t>TM/AM/BD</t>
  </si>
  <si>
    <t xml:space="preserve">PRODUCT Group </t>
  </si>
  <si>
    <t>VALUE IN LACS</t>
  </si>
  <si>
    <t>Consultant /Architech</t>
  </si>
  <si>
    <t>Customer Name</t>
  </si>
  <si>
    <t>Segment</t>
  </si>
  <si>
    <t xml:space="preserve">Competetion </t>
  </si>
  <si>
    <t>UPDATED STATUS</t>
  </si>
  <si>
    <t>Remarks</t>
  </si>
  <si>
    <t>Confidence Level</t>
  </si>
  <si>
    <t>LED or Conventional</t>
  </si>
  <si>
    <t>LOST month</t>
  </si>
  <si>
    <t>TM/ASM/BD name</t>
  </si>
  <si>
    <t>TM/ASM</t>
  </si>
  <si>
    <t xml:space="preserve">CUSTOMER / Contractor Name </t>
  </si>
  <si>
    <t>End client name with Puchaser Name</t>
  </si>
  <si>
    <t>Product DetailINDL/Street/COM/HM</t>
  </si>
  <si>
    <t xml:space="preserve">LED / Convention </t>
  </si>
  <si>
    <t>Dealer Name / Direct</t>
  </si>
  <si>
    <t>Value</t>
  </si>
  <si>
    <t>Received Month</t>
  </si>
  <si>
    <t>TM/ASM/BD Name</t>
  </si>
  <si>
    <t>Project name with Customer Name with Purchaser detail</t>
  </si>
  <si>
    <t>SEGMENT</t>
  </si>
  <si>
    <t>Major Product specific detail</t>
  </si>
  <si>
    <t>QTY Detail</t>
  </si>
  <si>
    <t xml:space="preserve">DEALER </t>
  </si>
  <si>
    <t>Dealer Name OR Direct</t>
  </si>
  <si>
    <t xml:space="preserve">Reason with Detail Analysis and offer of competetion </t>
  </si>
  <si>
    <t>Streetl / Infra / Commercial</t>
  </si>
  <si>
    <t>Serum Institute</t>
  </si>
  <si>
    <t>Suroj Buildcon</t>
  </si>
  <si>
    <t>Dilnawaz</t>
  </si>
  <si>
    <t>NA</t>
  </si>
  <si>
    <t>Philips</t>
  </si>
  <si>
    <t>Philips / Wipro</t>
  </si>
  <si>
    <t>Bajaj,Philips</t>
  </si>
  <si>
    <t>Bajaj</t>
  </si>
  <si>
    <t>Syska</t>
  </si>
  <si>
    <t>Havells</t>
  </si>
  <si>
    <t>Bajaj/Philips</t>
  </si>
  <si>
    <t>Om Lighting</t>
  </si>
  <si>
    <t>Direct</t>
  </si>
  <si>
    <t>Paramount</t>
  </si>
  <si>
    <t>SP Entp</t>
  </si>
  <si>
    <t>Commercial</t>
  </si>
  <si>
    <t>LED</t>
  </si>
  <si>
    <t>Weekly</t>
  </si>
  <si>
    <t>Industrial</t>
  </si>
  <si>
    <t>Om Sai Entp</t>
  </si>
  <si>
    <t>Vedanta Group Goa</t>
  </si>
  <si>
    <t>Praj Industries</t>
  </si>
  <si>
    <t>LED Highbay</t>
  </si>
  <si>
    <t>A1 Electricals</t>
  </si>
  <si>
    <t>Mahalaxmi</t>
  </si>
  <si>
    <t xml:space="preserve">Shreeji </t>
  </si>
  <si>
    <t xml:space="preserve">LED </t>
  </si>
  <si>
    <t>Philips/Bajaj</t>
  </si>
  <si>
    <t>MES Nagar</t>
  </si>
  <si>
    <t>Philips/Bajaj / Havells</t>
  </si>
  <si>
    <t>Ashish</t>
  </si>
  <si>
    <t>Satish</t>
  </si>
  <si>
    <t>PWD  Solapur</t>
  </si>
  <si>
    <t>LED Streetlight</t>
  </si>
  <si>
    <t>LED Tile</t>
  </si>
  <si>
    <t>LED Flood</t>
  </si>
  <si>
    <t>LED Commercial</t>
  </si>
  <si>
    <t>LED Street</t>
  </si>
  <si>
    <t>NTL</t>
  </si>
  <si>
    <t>Local</t>
  </si>
  <si>
    <t>Shrirampur Mun Corp</t>
  </si>
  <si>
    <t>Khadki Cantonment Board</t>
  </si>
  <si>
    <t>Talegaon Nagar Parishad</t>
  </si>
  <si>
    <t>Havells / Wipro / Syska</t>
  </si>
  <si>
    <t>CPWD</t>
  </si>
  <si>
    <t>Design stage</t>
  </si>
  <si>
    <t>Shah Trading</t>
  </si>
  <si>
    <t>Design</t>
  </si>
  <si>
    <t>Tender</t>
  </si>
  <si>
    <t>N S Jain</t>
  </si>
  <si>
    <t>Negotitaion</t>
  </si>
  <si>
    <t>Ahijeet agen</t>
  </si>
  <si>
    <t>Cablex</t>
  </si>
  <si>
    <t>Scoobs</t>
  </si>
  <si>
    <t>Conv</t>
  </si>
  <si>
    <t>S P Entp</t>
  </si>
  <si>
    <t>Classic Electricals</t>
  </si>
  <si>
    <t>Bajaj / Havells</t>
  </si>
  <si>
    <t>Spencer System</t>
  </si>
  <si>
    <t>Bajaj  / Philips/ Wipro</t>
  </si>
  <si>
    <t>Good Will Electricals</t>
  </si>
  <si>
    <t>Bhawarlal</t>
  </si>
  <si>
    <t>Kalyani Global</t>
  </si>
  <si>
    <t>Mahindra CIE</t>
  </si>
  <si>
    <t>Sahyadri Enterprses</t>
  </si>
  <si>
    <t>Rahuri Nagarparishad</t>
  </si>
  <si>
    <t>Govt.</t>
  </si>
  <si>
    <t>S.P. entp.</t>
  </si>
  <si>
    <t>Shahyadri</t>
  </si>
  <si>
    <t>Om Sai Entp.</t>
  </si>
  <si>
    <t>Rama Electricals</t>
  </si>
  <si>
    <t>designing Stage</t>
  </si>
  <si>
    <t>Akshay Elect</t>
  </si>
  <si>
    <t>Led</t>
  </si>
  <si>
    <t>National Elect</t>
  </si>
  <si>
    <t>Dyna Filter</t>
  </si>
  <si>
    <t>Raghav Electricals</t>
  </si>
  <si>
    <t>Bajaj  / Philips / Wipro</t>
  </si>
  <si>
    <t>Philips/Bajaj / Syska</t>
  </si>
  <si>
    <t>Kirloskar Oil Engines Khadki/ Kolhapur</t>
  </si>
  <si>
    <t>Design Stage</t>
  </si>
  <si>
    <t>Chitranagri</t>
  </si>
  <si>
    <t>Kimberly Clark</t>
  </si>
  <si>
    <t>Nagar Municipal Corporation</t>
  </si>
  <si>
    <t xml:space="preserve">Gaurav Sales </t>
  </si>
  <si>
    <t>Diplomat Electricals</t>
  </si>
  <si>
    <t>Corvi / Syska</t>
  </si>
  <si>
    <t>HPL / Bajaj / Philips</t>
  </si>
  <si>
    <t>Joshi Electricals</t>
  </si>
  <si>
    <t>ORDER RECEIVED ( &gt;  5  Lacs)</t>
  </si>
  <si>
    <t>PRODUCT</t>
  </si>
  <si>
    <t>ORDER RECD</t>
  </si>
  <si>
    <t>REMARKS</t>
  </si>
  <si>
    <t>DIRECT</t>
  </si>
  <si>
    <t>DEALER</t>
  </si>
  <si>
    <t>April</t>
  </si>
  <si>
    <t>Akola Mun Corp</t>
  </si>
  <si>
    <t>Akola</t>
  </si>
  <si>
    <t>N  S Jain</t>
  </si>
  <si>
    <t>Royal Ele</t>
  </si>
  <si>
    <t>IKE Ele</t>
  </si>
  <si>
    <t>Pune</t>
  </si>
  <si>
    <t>MES</t>
  </si>
  <si>
    <t>Reliable</t>
  </si>
  <si>
    <t>K R Traders</t>
  </si>
  <si>
    <t>Lonawala Mun council</t>
  </si>
  <si>
    <t>Lonawala</t>
  </si>
  <si>
    <t>Spares</t>
  </si>
  <si>
    <t>JSW</t>
  </si>
  <si>
    <t>Goa</t>
  </si>
  <si>
    <t>LED Flood/Street/Ind</t>
  </si>
  <si>
    <t>A1 Ele</t>
  </si>
  <si>
    <t>PWD</t>
  </si>
  <si>
    <t>LED Street/Flood</t>
  </si>
  <si>
    <t>OM Sai Ente</t>
  </si>
  <si>
    <t>Praj  Ind</t>
  </si>
  <si>
    <t>Con Ind</t>
  </si>
  <si>
    <t>Shreeji Ent</t>
  </si>
  <si>
    <t>D Y Patil</t>
  </si>
  <si>
    <t>LED Stret</t>
  </si>
  <si>
    <t>Pavan</t>
  </si>
  <si>
    <t>Rahata Mun council</t>
  </si>
  <si>
    <t>Nagar</t>
  </si>
  <si>
    <t>MAY</t>
  </si>
  <si>
    <t>Tata Motors</t>
  </si>
  <si>
    <t>May</t>
  </si>
  <si>
    <t>Nanded Mun Corp</t>
  </si>
  <si>
    <t>Nanded</t>
  </si>
  <si>
    <t>Krishna Aganecy</t>
  </si>
  <si>
    <t>PCMC-Smart Project</t>
  </si>
  <si>
    <t>LED Post top</t>
  </si>
  <si>
    <t>Mihir</t>
  </si>
  <si>
    <t>POSO  Ppc</t>
  </si>
  <si>
    <t>Garden Ship Builders</t>
  </si>
  <si>
    <t>Kolkatta</t>
  </si>
  <si>
    <t>HID Lamps</t>
  </si>
  <si>
    <t>Neelanchal Ispat</t>
  </si>
  <si>
    <t>Orissa</t>
  </si>
  <si>
    <t>Solapur Mun Corp</t>
  </si>
  <si>
    <t>Solapur</t>
  </si>
  <si>
    <t>Vijay Ventures</t>
  </si>
  <si>
    <t>S P Ente</t>
  </si>
  <si>
    <t>June</t>
  </si>
  <si>
    <t>MIDC</t>
  </si>
  <si>
    <t>Sumi Ele</t>
  </si>
  <si>
    <t>Krupan ele</t>
  </si>
  <si>
    <t>J P Ent</t>
  </si>
  <si>
    <t>Gaurav Ele</t>
  </si>
  <si>
    <t>Pathardi Mun Council</t>
  </si>
  <si>
    <t>Glatt India</t>
  </si>
  <si>
    <t>Pune Cantonment Board</t>
  </si>
  <si>
    <t>Karad Mun council</t>
  </si>
  <si>
    <t>Karad</t>
  </si>
  <si>
    <t>Piaggio Vehicles</t>
  </si>
  <si>
    <t>Baramati</t>
  </si>
  <si>
    <t>KOEL</t>
  </si>
  <si>
    <t>Kolhapur</t>
  </si>
  <si>
    <t>OM Lighting</t>
  </si>
  <si>
    <t>July</t>
  </si>
  <si>
    <t>Ganesh Ele</t>
  </si>
  <si>
    <t>Self</t>
  </si>
  <si>
    <t>Dhawaltech Technologies</t>
  </si>
  <si>
    <t>LED Ind</t>
  </si>
  <si>
    <t>Om sai</t>
  </si>
  <si>
    <t>Bondre &amp; Associates</t>
  </si>
  <si>
    <t>Bondre</t>
  </si>
  <si>
    <t>LED Clean</t>
  </si>
  <si>
    <t>Mhatre Construction</t>
  </si>
  <si>
    <t>Sangli Mun Corp</t>
  </si>
  <si>
    <t>Rohan Ele</t>
  </si>
  <si>
    <t>Aug</t>
  </si>
  <si>
    <t>Mojj Engg</t>
  </si>
  <si>
    <t>FLP Conv</t>
  </si>
  <si>
    <t>Aundh Gram Panchayat</t>
  </si>
  <si>
    <t>Satara</t>
  </si>
  <si>
    <t>National</t>
  </si>
  <si>
    <t>Goa Ship Yard</t>
  </si>
  <si>
    <t>Leo Surface Coating</t>
  </si>
  <si>
    <t>FLP LED</t>
  </si>
  <si>
    <t>Om Sai Enterprises</t>
  </si>
  <si>
    <t>N s Jain</t>
  </si>
  <si>
    <t>Sept</t>
  </si>
  <si>
    <t>Conventional</t>
  </si>
  <si>
    <t>N.S. Jain</t>
  </si>
  <si>
    <t>Purva Ele.</t>
  </si>
  <si>
    <t>Shrigonda Municipal Council</t>
  </si>
  <si>
    <t>Sep</t>
  </si>
  <si>
    <t>Natures Dairy</t>
  </si>
  <si>
    <t>Indoor LED</t>
  </si>
  <si>
    <t>Mhetre ele</t>
  </si>
  <si>
    <t>JVS</t>
  </si>
  <si>
    <t>LSTN-72-CDL</t>
  </si>
  <si>
    <t>S P Enterprises</t>
  </si>
  <si>
    <t>Prefered Local Brand - Relationship with MD</t>
  </si>
  <si>
    <t>Aques -SEZ</t>
  </si>
  <si>
    <t>Ind</t>
  </si>
  <si>
    <t>LHB-100-CDL</t>
  </si>
  <si>
    <t>Om Lighting Solutions</t>
  </si>
  <si>
    <t>HPL</t>
  </si>
  <si>
    <t>Unable to execute with ARE-1 Trasaction</t>
  </si>
  <si>
    <t>Maharshi Karve Institute</t>
  </si>
  <si>
    <t>Comm</t>
  </si>
  <si>
    <t>LSTLP-20</t>
  </si>
  <si>
    <t>LED Battens</t>
  </si>
  <si>
    <t>Halonix</t>
  </si>
  <si>
    <t>Customer required delivery in One Week</t>
  </si>
  <si>
    <t>Bank of Baroda</t>
  </si>
  <si>
    <t>LCTLR/LCDD</t>
  </si>
  <si>
    <t>Syska,Philips,Bajaj</t>
  </si>
  <si>
    <t>NABL Reports not available in time</t>
  </si>
  <si>
    <t>Asian Paints</t>
  </si>
  <si>
    <t>LHB</t>
  </si>
  <si>
    <t>On technical Parameters-CRI</t>
  </si>
  <si>
    <t>Mourya Inds</t>
  </si>
  <si>
    <t>Oct.</t>
  </si>
  <si>
    <t xml:space="preserve">Saket </t>
  </si>
  <si>
    <t>Girish Kare</t>
  </si>
  <si>
    <t>Nov</t>
  </si>
  <si>
    <t>JVS ENG.</t>
  </si>
  <si>
    <t>GOVT.</t>
  </si>
  <si>
    <t>Dehu Road Cantonment Board</t>
  </si>
  <si>
    <t>Shivam Eng.</t>
  </si>
  <si>
    <t>Sumi Electrical (Mahabaleshwar Muncipal)</t>
  </si>
  <si>
    <t xml:space="preserve">Vijay Construction </t>
  </si>
  <si>
    <t>NS Jain</t>
  </si>
  <si>
    <t>Guruprasad elect.</t>
  </si>
  <si>
    <t>Rama electrical</t>
  </si>
  <si>
    <t>Malvan Muncipal council</t>
  </si>
  <si>
    <t>LED TUBE</t>
  </si>
  <si>
    <t>LFLN 120</t>
  </si>
  <si>
    <t>LED Flood Light</t>
  </si>
  <si>
    <t>B.G. Shirke</t>
  </si>
  <si>
    <t>MIDC SUPA</t>
  </si>
  <si>
    <t>NAGAR</t>
  </si>
  <si>
    <t>LSTP-90</t>
  </si>
  <si>
    <t>Electronet Systems</t>
  </si>
  <si>
    <t>Aques</t>
  </si>
  <si>
    <t>S.P. Enterprises</t>
  </si>
  <si>
    <t>LED Street / Flood</t>
  </si>
  <si>
    <t>Ankush</t>
  </si>
  <si>
    <t>Raghav</t>
  </si>
  <si>
    <t>Pyrotech</t>
  </si>
  <si>
    <t>Competitive rate</t>
  </si>
  <si>
    <t>Eta mech</t>
  </si>
  <si>
    <t>Prefered Local Brand</t>
  </si>
  <si>
    <t>Purva</t>
  </si>
  <si>
    <t>LSTP-45</t>
  </si>
  <si>
    <t>Luker</t>
  </si>
  <si>
    <t>Reliable Ent.</t>
  </si>
  <si>
    <t>20 W Battern</t>
  </si>
  <si>
    <t>LCTLP-20-CDL</t>
  </si>
  <si>
    <t>S.T. Elect.</t>
  </si>
  <si>
    <t>LSTP-120</t>
  </si>
  <si>
    <t>Surya</t>
  </si>
  <si>
    <t>Central Railway- Sadhana Ele</t>
  </si>
  <si>
    <t>Gov.</t>
  </si>
  <si>
    <t>Curtis Wright ,Bhosari</t>
  </si>
  <si>
    <t>Sangli Municipal Corp</t>
  </si>
  <si>
    <t>MES  -Shreeji</t>
  </si>
  <si>
    <t>Guru Krupa</t>
  </si>
  <si>
    <t>Baramati Medical College</t>
  </si>
  <si>
    <t>Nagar Cantonment Board</t>
  </si>
  <si>
    <t>Solapur Mun corp</t>
  </si>
  <si>
    <t>Kolhapur Mun Corp</t>
  </si>
  <si>
    <t>Abhijeet</t>
  </si>
  <si>
    <t>Oct</t>
  </si>
  <si>
    <t>Saket</t>
  </si>
  <si>
    <t xml:space="preserve">Vedanta </t>
  </si>
  <si>
    <t>Sangli</t>
  </si>
  <si>
    <t>Kranti Sugar Factory</t>
  </si>
  <si>
    <t>Akluj</t>
  </si>
  <si>
    <t>Abhijet</t>
  </si>
  <si>
    <t xml:space="preserve">GC Elect </t>
  </si>
  <si>
    <t xml:space="preserve">MES </t>
  </si>
  <si>
    <t>industrial</t>
  </si>
  <si>
    <t xml:space="preserve">Govt. </t>
  </si>
  <si>
    <t>Q1 2018</t>
  </si>
  <si>
    <t>Only Crompton is approved</t>
  </si>
  <si>
    <t>Our Contractor Kamal Chand Elect L-1</t>
  </si>
  <si>
    <t>Repeat Order</t>
  </si>
  <si>
    <t>Design &amp; Technical Support provided</t>
  </si>
  <si>
    <t>Spec In &amp; samples approved</t>
  </si>
  <si>
    <t>Design &amp; Sampling done</t>
  </si>
  <si>
    <t>Design / Sampling &amp; provided Technical support</t>
  </si>
  <si>
    <t>Repeat Order - 120 W Flood light</t>
  </si>
  <si>
    <t>Repeat Order  LPTO-40 -W - CDL</t>
  </si>
  <si>
    <t>Provided technical Support</t>
  </si>
  <si>
    <t>Technical support</t>
  </si>
  <si>
    <t>Repeat Order LHB-90-CDL</t>
  </si>
  <si>
    <t>Repeat Order Street Light</t>
  </si>
  <si>
    <t>Support provided during submission of tender</t>
  </si>
  <si>
    <t>Our Contractor Sumi Elect L-1</t>
  </si>
  <si>
    <t>Awaiting for PO</t>
  </si>
  <si>
    <t>Design Support Provided</t>
  </si>
  <si>
    <t xml:space="preserve">Spec in   </t>
  </si>
  <si>
    <t>Crompton &amp;Bajaj are major Contenders</t>
  </si>
  <si>
    <t>IKE  Electric</t>
  </si>
  <si>
    <t>Pasolite</t>
  </si>
  <si>
    <t xml:space="preserve">Bajaj  / Philips </t>
  </si>
  <si>
    <t>Delivery</t>
  </si>
  <si>
    <t>Sucsessful Demo</t>
  </si>
  <si>
    <t>Spec in</t>
  </si>
  <si>
    <t xml:space="preserve">Sampling </t>
  </si>
  <si>
    <t>POSCO IPPC</t>
  </si>
  <si>
    <t>Sanjay Ghodawat Group</t>
  </si>
  <si>
    <t>Bajaj / Surya</t>
  </si>
  <si>
    <t xml:space="preserve">Pavan </t>
  </si>
  <si>
    <t>Dec</t>
  </si>
  <si>
    <t>MV Rao</t>
  </si>
  <si>
    <t>Flood Light</t>
  </si>
  <si>
    <t>75032-2000w</t>
  </si>
  <si>
    <t>Transrail</t>
  </si>
  <si>
    <t>Delay in submission of Pole Quotation</t>
  </si>
  <si>
    <t>Sampling Stage</t>
  </si>
  <si>
    <t>Tender Received waiting for work order</t>
  </si>
  <si>
    <t>Tendering Stage</t>
  </si>
  <si>
    <t>Negotitaion Stage</t>
  </si>
  <si>
    <t>Ravi</t>
  </si>
  <si>
    <t>Keladi Shivappanayaka University of Horticultal and Agricultural Science- Shivamogga</t>
  </si>
  <si>
    <t>Solar Steam cooking</t>
  </si>
  <si>
    <t xml:space="preserve">Q2 </t>
  </si>
  <si>
    <t>Q3/Q4 2024</t>
  </si>
  <si>
    <t>Namrata Novelties  ( INS Mandovi - Goa)</t>
  </si>
  <si>
    <t>Rohit</t>
  </si>
  <si>
    <t>Namrata Novelties</t>
  </si>
  <si>
    <t xml:space="preserve">       Ravi</t>
  </si>
  <si>
    <t>University of Agricultural Science - Raichur</t>
  </si>
  <si>
    <t>Zilla Panchayat - Pune</t>
  </si>
  <si>
    <t>Solar Tunnel Dryer</t>
  </si>
  <si>
    <t>GEDA</t>
  </si>
  <si>
    <t>Dayalbagh Educational Institute (deemed To Be University) Dayalbagh Agra - 282005</t>
  </si>
  <si>
    <t>GaviSiddeshwar Math - Koppal</t>
  </si>
  <si>
    <t>Private</t>
  </si>
  <si>
    <t>Sri Raghavendra Swami math - Matralayam</t>
  </si>
  <si>
    <t>SDM College of Engg and Technology</t>
  </si>
  <si>
    <t>Adhichinchangeri Math</t>
  </si>
  <si>
    <t>Sri Saibaba Mandhir - Katapur</t>
  </si>
  <si>
    <t>AGMR</t>
  </si>
  <si>
    <t xml:space="preserve">Budharakita School </t>
  </si>
  <si>
    <t>Siddhrodmath - Hubli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</si>
</sst>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[$-F800]dddd\,\ mmmm\ dd\,\ yyyy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indexed="8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</font>
    <font>
      <b/>
      <sz val="11"/>
      <name val="Arial"/>
      <family val="2"/>
    </font>
    <font>
      <b/>
      <u/>
      <sz val="10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9">
    <xf numFmtId="0" fontId="0" fillId="0" borderId="0">
      <alignment vertical="top"/>
    </xf>
    <xf numFmtId="0" fontId="3" fillId="0" borderId="0"/>
    <xf numFmtId="0" fontId="4" fillId="0" borderId="0">
      <alignment vertical="top"/>
    </xf>
    <xf numFmtId="0" fontId="7" fillId="0" borderId="0"/>
    <xf numFmtId="0" fontId="2" fillId="0" borderId="0"/>
    <xf numFmtId="0" fontId="4" fillId="0" borderId="0">
      <alignment vertical="top"/>
    </xf>
    <xf numFmtId="0" fontId="3" fillId="0" borderId="0">
      <alignment vertical="top"/>
    </xf>
    <xf numFmtId="0" fontId="1" fillId="0" borderId="0"/>
    <xf numFmtId="164" fontId="15" fillId="0" borderId="0" applyFont="0" applyFill="0" applyBorder="0" applyAlignment="0" applyProtection="0"/>
  </cellStyleXfs>
  <cellXfs count="105">
    <xf numFmtId="0" fontId="0" fillId="0" borderId="0" xfId="0">
      <alignment vertical="top"/>
    </xf>
    <xf numFmtId="0" fontId="3" fillId="0" borderId="0" xfId="0" applyFont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5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3" borderId="1" xfId="4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17" fontId="8" fillId="0" borderId="1" xfId="0" applyNumberFormat="1" applyFont="1" applyBorder="1" applyAlignment="1">
      <alignment horizontal="center" vertical="center"/>
    </xf>
    <xf numFmtId="17" fontId="8" fillId="6" borderId="1" xfId="0" applyNumberFormat="1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8" fillId="0" borderId="0" xfId="0" applyFont="1">
      <alignment vertical="top"/>
    </xf>
    <xf numFmtId="0" fontId="8" fillId="0" borderId="0" xfId="0" applyFont="1" applyAlignment="1">
      <alignment horizontal="center" vertical="top"/>
    </xf>
    <xf numFmtId="0" fontId="10" fillId="7" borderId="1" xfId="0" applyFont="1" applyFill="1" applyBorder="1" applyAlignment="1">
      <alignment horizontal="center" vertical="top"/>
    </xf>
    <xf numFmtId="0" fontId="10" fillId="3" borderId="1" xfId="4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0" xfId="0" applyFont="1">
      <alignment vertical="top"/>
    </xf>
    <xf numFmtId="0" fontId="8" fillId="0" borderId="1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17" fontId="8" fillId="0" borderId="1" xfId="0" applyNumberFormat="1" applyFont="1" applyBorder="1" applyAlignment="1">
      <alignment horizontal="center" vertical="top"/>
    </xf>
    <xf numFmtId="165" fontId="8" fillId="0" borderId="1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7" fontId="10" fillId="8" borderId="4" xfId="4" applyNumberFormat="1" applyFont="1" applyFill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12" fillId="0" borderId="1" xfId="7" applyFont="1" applyBorder="1" applyAlignment="1">
      <alignment horizontal="center" vertical="center" wrapText="1"/>
    </xf>
    <xf numFmtId="0" fontId="8" fillId="0" borderId="1" xfId="6" applyFont="1" applyBorder="1" applyAlignment="1">
      <alignment horizontal="center" vertical="center" wrapText="1"/>
    </xf>
    <xf numFmtId="0" fontId="8" fillId="0" borderId="1" xfId="6" applyFont="1" applyBorder="1" applyAlignment="1">
      <alignment horizontal="center" vertical="center"/>
    </xf>
    <xf numFmtId="0" fontId="9" fillId="6" borderId="1" xfId="3" applyFont="1" applyFill="1" applyBorder="1" applyAlignment="1">
      <alignment horizontal="center" vertical="center"/>
    </xf>
    <xf numFmtId="0" fontId="9" fillId="6" borderId="1" xfId="3" applyFont="1" applyFill="1" applyBorder="1" applyAlignment="1">
      <alignment horizontal="center" vertical="center" wrapText="1"/>
    </xf>
    <xf numFmtId="0" fontId="8" fillId="6" borderId="1" xfId="6" applyFont="1" applyFill="1" applyBorder="1" applyAlignment="1">
      <alignment horizontal="center" vertical="center"/>
    </xf>
    <xf numFmtId="0" fontId="9" fillId="0" borderId="1" xfId="3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8" fillId="6" borderId="1" xfId="2" applyFont="1" applyFill="1" applyBorder="1" applyAlignment="1">
      <alignment horizontal="center" vertical="center" wrapText="1"/>
    </xf>
    <xf numFmtId="0" fontId="8" fillId="0" borderId="1" xfId="6" applyFont="1" applyBorder="1" applyAlignment="1">
      <alignment horizontal="center" vertical="top"/>
    </xf>
    <xf numFmtId="17" fontId="8" fillId="0" borderId="1" xfId="6" applyNumberFormat="1" applyFont="1" applyBorder="1" applyAlignment="1">
      <alignment horizontal="center" vertical="top"/>
    </xf>
    <xf numFmtId="0" fontId="8" fillId="0" borderId="7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8" fillId="0" borderId="3" xfId="6" applyFont="1" applyBorder="1" applyAlignment="1">
      <alignment horizontal="center" vertical="top"/>
    </xf>
    <xf numFmtId="17" fontId="10" fillId="3" borderId="1" xfId="4" applyNumberFormat="1" applyFont="1" applyFill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top"/>
    </xf>
    <xf numFmtId="1" fontId="8" fillId="0" borderId="1" xfId="0" applyNumberFormat="1" applyFont="1" applyBorder="1" applyAlignment="1">
      <alignment horizontal="center" vertical="top"/>
    </xf>
    <xf numFmtId="1" fontId="8" fillId="0" borderId="3" xfId="0" applyNumberFormat="1" applyFont="1" applyBorder="1" applyAlignment="1">
      <alignment horizontal="center" vertical="top"/>
    </xf>
    <xf numFmtId="1" fontId="8" fillId="0" borderId="1" xfId="6" applyNumberFormat="1" applyFont="1" applyBorder="1" applyAlignment="1">
      <alignment horizontal="center" vertical="top"/>
    </xf>
    <xf numFmtId="0" fontId="0" fillId="0" borderId="1" xfId="0" applyBorder="1">
      <alignment vertical="top"/>
    </xf>
    <xf numFmtId="0" fontId="13" fillId="9" borderId="1" xfId="0" applyFont="1" applyFill="1" applyBorder="1">
      <alignment vertical="top"/>
    </xf>
    <xf numFmtId="0" fontId="3" fillId="0" borderId="1" xfId="0" applyFont="1" applyBorder="1">
      <alignment vertical="top"/>
    </xf>
    <xf numFmtId="0" fontId="8" fillId="9" borderId="1" xfId="0" applyFont="1" applyFill="1" applyBorder="1" applyAlignment="1">
      <alignment horizontal="center" vertical="top"/>
    </xf>
    <xf numFmtId="0" fontId="8" fillId="0" borderId="0" xfId="0" applyFont="1" applyAlignment="1"/>
    <xf numFmtId="0" fontId="9" fillId="0" borderId="1" xfId="0" applyFont="1" applyBorder="1" applyAlignment="1">
      <alignment horizontal="center" vertical="center"/>
    </xf>
    <xf numFmtId="0" fontId="9" fillId="0" borderId="0" xfId="0" applyFont="1">
      <alignment vertical="top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0" fillId="5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2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6" applyFont="1" applyAlignment="1">
      <alignment horizontal="left"/>
    </xf>
    <xf numFmtId="0" fontId="8" fillId="0" borderId="0" xfId="6" applyFont="1" applyAlignment="1">
      <alignment horizontal="center"/>
    </xf>
    <xf numFmtId="0" fontId="9" fillId="4" borderId="1" xfId="6" applyFont="1" applyFill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17" fontId="8" fillId="0" borderId="1" xfId="6" applyNumberFormat="1" applyFont="1" applyBorder="1" applyAlignment="1">
      <alignment horizontal="center" vertical="center" wrapText="1"/>
    </xf>
    <xf numFmtId="0" fontId="8" fillId="0" borderId="1" xfId="5" applyFont="1" applyBorder="1" applyAlignment="1">
      <alignment horizontal="center" vertical="center" wrapText="1"/>
    </xf>
    <xf numFmtId="17" fontId="8" fillId="0" borderId="1" xfId="6" applyNumberFormat="1" applyFont="1" applyBorder="1" applyAlignment="1">
      <alignment horizontal="center" vertical="center"/>
    </xf>
    <xf numFmtId="17" fontId="8" fillId="0" borderId="1" xfId="5" applyNumberFormat="1" applyFont="1" applyBorder="1" applyAlignment="1">
      <alignment horizontal="center" vertical="center" wrapText="1"/>
    </xf>
    <xf numFmtId="0" fontId="8" fillId="0" borderId="1" xfId="6" applyFont="1" applyBorder="1" applyAlignment="1">
      <alignment horizontal="center"/>
    </xf>
    <xf numFmtId="0" fontId="8" fillId="0" borderId="1" xfId="0" applyFont="1" applyBorder="1">
      <alignment vertical="top"/>
    </xf>
    <xf numFmtId="3" fontId="8" fillId="0" borderId="1" xfId="8" applyNumberFormat="1" applyFont="1" applyBorder="1" applyAlignment="1">
      <alignment horizontal="center" vertical="top"/>
    </xf>
    <xf numFmtId="1" fontId="9" fillId="0" borderId="1" xfId="3" applyNumberFormat="1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left" vertical="center"/>
    </xf>
    <xf numFmtId="17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9" fillId="10" borderId="1" xfId="3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center" vertical="center" wrapText="1"/>
    </xf>
    <xf numFmtId="1" fontId="9" fillId="10" borderId="1" xfId="3" applyNumberFormat="1" applyFont="1" applyFill="1" applyBorder="1" applyAlignment="1">
      <alignment horizontal="center" vertical="center" wrapText="1"/>
    </xf>
    <xf numFmtId="0" fontId="8" fillId="10" borderId="1" xfId="6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 wrapText="1"/>
    </xf>
    <xf numFmtId="1" fontId="9" fillId="9" borderId="1" xfId="3" applyNumberFormat="1" applyFont="1" applyFill="1" applyBorder="1" applyAlignment="1">
      <alignment horizontal="center" vertical="center" wrapText="1"/>
    </xf>
    <xf numFmtId="1" fontId="8" fillId="9" borderId="1" xfId="0" applyNumberFormat="1" applyFont="1" applyFill="1" applyBorder="1" applyAlignment="1">
      <alignment horizontal="center" vertical="top"/>
    </xf>
    <xf numFmtId="0" fontId="8" fillId="11" borderId="1" xfId="0" applyFont="1" applyFill="1" applyBorder="1" applyAlignment="1">
      <alignment horizontal="center" vertical="top"/>
    </xf>
    <xf numFmtId="0" fontId="10" fillId="5" borderId="1" xfId="0" applyFont="1" applyFill="1" applyBorder="1" applyAlignment="1">
      <alignment horizontal="center" vertical="center" wrapText="1"/>
    </xf>
    <xf numFmtId="0" fontId="14" fillId="5" borderId="0" xfId="0" applyFont="1" applyFill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</cellXfs>
  <cellStyles count="9">
    <cellStyle name="Currency" xfId="8" builtinId="4"/>
    <cellStyle name="Normal" xfId="0" builtinId="0"/>
    <cellStyle name="Normal 2" xfId="1" xr:uid="{00000000-0005-0000-0000-000002000000}"/>
    <cellStyle name="Normal 2 3" xfId="6" xr:uid="{00000000-0005-0000-0000-000003000000}"/>
    <cellStyle name="Normal 3" xfId="7" xr:uid="{00000000-0005-0000-0000-000004000000}"/>
    <cellStyle name="Normal_BRM_OCT-15 updated" xfId="2" xr:uid="{00000000-0005-0000-0000-000005000000}"/>
    <cellStyle name="Normal_Enquiry Bank May 16" xfId="3" xr:uid="{00000000-0005-0000-0000-000006000000}"/>
    <cellStyle name="Normal_Sheet1" xfId="4" xr:uid="{00000000-0005-0000-0000-000007000000}"/>
    <cellStyle name="Normal_sreya's proj tracker n enq bank" xfId="5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377825</xdr:rowOff>
    </xdr:to>
    <xdr:sp macro="" textlink="">
      <xdr:nvSpPr>
        <xdr:cNvPr id="8786" name="Picture_x0020_1" descr="cid:image005.png@01CE799E.62F85A80">
          <a:extLst>
            <a:ext uri="{FF2B5EF4-FFF2-40B4-BE49-F238E27FC236}">
              <a16:creationId xmlns:a16="http://schemas.microsoft.com/office/drawing/2014/main" id="{00000000-0008-0000-0000-000052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358775</xdr:rowOff>
    </xdr:to>
    <xdr:sp macro="" textlink="">
      <xdr:nvSpPr>
        <xdr:cNvPr id="8787" name="AutoShape 2" descr="cid:image005.png@01CE799E.62F85A80">
          <a:extLst>
            <a:ext uri="{FF2B5EF4-FFF2-40B4-BE49-F238E27FC236}">
              <a16:creationId xmlns:a16="http://schemas.microsoft.com/office/drawing/2014/main" id="{00000000-0008-0000-0000-000053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358775</xdr:rowOff>
    </xdr:to>
    <xdr:sp macro="" textlink="">
      <xdr:nvSpPr>
        <xdr:cNvPr id="8788" name="AutoShape 3" descr="cid:image005.png@01CE799E.62F85A80">
          <a:extLst>
            <a:ext uri="{FF2B5EF4-FFF2-40B4-BE49-F238E27FC236}">
              <a16:creationId xmlns:a16="http://schemas.microsoft.com/office/drawing/2014/main" id="{00000000-0008-0000-0000-000054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368300</xdr:rowOff>
    </xdr:to>
    <xdr:sp macro="" textlink="">
      <xdr:nvSpPr>
        <xdr:cNvPr id="8789" name="AutoShape 4" descr="cid:image005.png@01CE799E.62F85A80">
          <a:extLst>
            <a:ext uri="{FF2B5EF4-FFF2-40B4-BE49-F238E27FC236}">
              <a16:creationId xmlns:a16="http://schemas.microsoft.com/office/drawing/2014/main" id="{00000000-0008-0000-0000-000055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377825</xdr:rowOff>
    </xdr:to>
    <xdr:sp macro="" textlink="">
      <xdr:nvSpPr>
        <xdr:cNvPr id="8790" name="AutoShape 5" descr="cid:image005.png@01CE799E.62F85A80">
          <a:extLst>
            <a:ext uri="{FF2B5EF4-FFF2-40B4-BE49-F238E27FC236}">
              <a16:creationId xmlns:a16="http://schemas.microsoft.com/office/drawing/2014/main" id="{00000000-0008-0000-0000-000056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358775</xdr:rowOff>
    </xdr:to>
    <xdr:sp macro="" textlink="">
      <xdr:nvSpPr>
        <xdr:cNvPr id="8791" name="AutoShape 6" descr="cid:image005.png@01CE799E.62F85A80">
          <a:extLst>
            <a:ext uri="{FF2B5EF4-FFF2-40B4-BE49-F238E27FC236}">
              <a16:creationId xmlns:a16="http://schemas.microsoft.com/office/drawing/2014/main" id="{00000000-0008-0000-0000-000057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358775</xdr:rowOff>
    </xdr:to>
    <xdr:sp macro="" textlink="">
      <xdr:nvSpPr>
        <xdr:cNvPr id="8792" name="AutoShape 7" descr="cid:image005.png@01CE799E.62F85A80">
          <a:extLst>
            <a:ext uri="{FF2B5EF4-FFF2-40B4-BE49-F238E27FC236}">
              <a16:creationId xmlns:a16="http://schemas.microsoft.com/office/drawing/2014/main" id="{00000000-0008-0000-0000-000058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368300</xdr:rowOff>
    </xdr:to>
    <xdr:sp macro="" textlink="">
      <xdr:nvSpPr>
        <xdr:cNvPr id="8793" name="AutoShape 8" descr="cid:image005.png@01CE799E.62F85A80">
          <a:extLst>
            <a:ext uri="{FF2B5EF4-FFF2-40B4-BE49-F238E27FC236}">
              <a16:creationId xmlns:a16="http://schemas.microsoft.com/office/drawing/2014/main" id="{00000000-0008-0000-0000-000059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377825</xdr:rowOff>
    </xdr:to>
    <xdr:sp macro="" textlink="">
      <xdr:nvSpPr>
        <xdr:cNvPr id="8794" name="Picture_x0020_1" descr="cid:image005.png@01CE799E.62F85A80">
          <a:extLst>
            <a:ext uri="{FF2B5EF4-FFF2-40B4-BE49-F238E27FC236}">
              <a16:creationId xmlns:a16="http://schemas.microsoft.com/office/drawing/2014/main" id="{00000000-0008-0000-0000-00005A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358775</xdr:rowOff>
    </xdr:to>
    <xdr:sp macro="" textlink="">
      <xdr:nvSpPr>
        <xdr:cNvPr id="8795" name="AutoShape 10" descr="cid:image005.png@01CE799E.62F85A80">
          <a:extLst>
            <a:ext uri="{FF2B5EF4-FFF2-40B4-BE49-F238E27FC236}">
              <a16:creationId xmlns:a16="http://schemas.microsoft.com/office/drawing/2014/main" id="{00000000-0008-0000-0000-00005B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358775</xdr:rowOff>
    </xdr:to>
    <xdr:sp macro="" textlink="">
      <xdr:nvSpPr>
        <xdr:cNvPr id="8796" name="AutoShape 11" descr="cid:image005.png@01CE799E.62F85A80">
          <a:extLst>
            <a:ext uri="{FF2B5EF4-FFF2-40B4-BE49-F238E27FC236}">
              <a16:creationId xmlns:a16="http://schemas.microsoft.com/office/drawing/2014/main" id="{00000000-0008-0000-0000-00005C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368300</xdr:rowOff>
    </xdr:to>
    <xdr:sp macro="" textlink="">
      <xdr:nvSpPr>
        <xdr:cNvPr id="8797" name="AutoShape 12" descr="cid:image005.png@01CE799E.62F85A80">
          <a:extLst>
            <a:ext uri="{FF2B5EF4-FFF2-40B4-BE49-F238E27FC236}">
              <a16:creationId xmlns:a16="http://schemas.microsoft.com/office/drawing/2014/main" id="{00000000-0008-0000-0000-00005D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377825</xdr:rowOff>
    </xdr:to>
    <xdr:sp macro="" textlink="">
      <xdr:nvSpPr>
        <xdr:cNvPr id="8798" name="AutoShape 13" descr="cid:image005.png@01CE799E.62F85A80">
          <a:extLst>
            <a:ext uri="{FF2B5EF4-FFF2-40B4-BE49-F238E27FC236}">
              <a16:creationId xmlns:a16="http://schemas.microsoft.com/office/drawing/2014/main" id="{00000000-0008-0000-0000-00005E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2001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358775</xdr:rowOff>
    </xdr:to>
    <xdr:sp macro="" textlink="">
      <xdr:nvSpPr>
        <xdr:cNvPr id="8799" name="AutoShape 14" descr="cid:image005.png@01CE799E.62F85A80">
          <a:extLst>
            <a:ext uri="{FF2B5EF4-FFF2-40B4-BE49-F238E27FC236}">
              <a16:creationId xmlns:a16="http://schemas.microsoft.com/office/drawing/2014/main" id="{00000000-0008-0000-0000-00005F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16</xdr:col>
      <xdr:colOff>0</xdr:colOff>
      <xdr:row>3</xdr:row>
      <xdr:rowOff>0</xdr:rowOff>
    </xdr:from>
    <xdr:to>
      <xdr:col>20</xdr:col>
      <xdr:colOff>114300</xdr:colOff>
      <xdr:row>9</xdr:row>
      <xdr:rowOff>358775</xdr:rowOff>
    </xdr:to>
    <xdr:sp macro="" textlink="">
      <xdr:nvSpPr>
        <xdr:cNvPr id="8800" name="AutoShape 15" descr="cid:image005.png@01CE799E.62F85A80">
          <a:extLst>
            <a:ext uri="{FF2B5EF4-FFF2-40B4-BE49-F238E27FC236}">
              <a16:creationId xmlns:a16="http://schemas.microsoft.com/office/drawing/2014/main" id="{00000000-0008-0000-0000-000060220000}"/>
            </a:ext>
          </a:extLst>
        </xdr:cNvPr>
        <xdr:cNvSpPr>
          <a:spLocks noChangeAspect="1" noChangeArrowheads="1"/>
        </xdr:cNvSpPr>
      </xdr:nvSpPr>
      <xdr:spPr bwMode="auto">
        <a:xfrm>
          <a:off x="14230350" y="933450"/>
          <a:ext cx="609600" cy="11811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352425</xdr:colOff>
      <xdr:row>3</xdr:row>
      <xdr:rowOff>0</xdr:rowOff>
    </xdr:from>
    <xdr:to>
      <xdr:col>14</xdr:col>
      <xdr:colOff>466725</xdr:colOff>
      <xdr:row>9</xdr:row>
      <xdr:rowOff>368300</xdr:rowOff>
    </xdr:to>
    <xdr:sp macro="" textlink="">
      <xdr:nvSpPr>
        <xdr:cNvPr id="8801" name="AutoShape 16" descr="cid:image005.png@01CE799E.62F85A80">
          <a:extLst>
            <a:ext uri="{FF2B5EF4-FFF2-40B4-BE49-F238E27FC236}">
              <a16:creationId xmlns:a16="http://schemas.microsoft.com/office/drawing/2014/main" id="{00000000-0008-0000-0000-000061220000}"/>
            </a:ext>
          </a:extLst>
        </xdr:cNvPr>
        <xdr:cNvSpPr>
          <a:spLocks noChangeAspect="1" noChangeArrowheads="1"/>
        </xdr:cNvSpPr>
      </xdr:nvSpPr>
      <xdr:spPr bwMode="auto">
        <a:xfrm>
          <a:off x="11382375" y="933450"/>
          <a:ext cx="609600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13</xdr:col>
      <xdr:colOff>352425</xdr:colOff>
      <xdr:row>12</xdr:row>
      <xdr:rowOff>0</xdr:rowOff>
    </xdr:from>
    <xdr:to>
      <xdr:col>14</xdr:col>
      <xdr:colOff>152400</xdr:colOff>
      <xdr:row>15</xdr:row>
      <xdr:rowOff>142875</xdr:rowOff>
    </xdr:to>
    <xdr:sp macro="" textlink="">
      <xdr:nvSpPr>
        <xdr:cNvPr id="19" name="AutoShape 16" descr="cid:image005.png@01CE799E.62F85A80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0506075" y="847725"/>
          <a:ext cx="295275" cy="1190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76200</xdr:rowOff>
    </xdr:from>
    <xdr:to>
      <xdr:col>0</xdr:col>
      <xdr:colOff>295275</xdr:colOff>
      <xdr:row>7</xdr:row>
      <xdr:rowOff>38100</xdr:rowOff>
    </xdr:to>
    <xdr:sp macro="" textlink="">
      <xdr:nvSpPr>
        <xdr:cNvPr id="4" name="AutoShape 16" descr="cid:image005.png@01CE799E.62F85A80">
          <a:extLst>
            <a:ext uri="{FF2B5EF4-FFF2-40B4-BE49-F238E27FC236}">
              <a16:creationId xmlns:a16="http://schemas.microsoft.com/office/drawing/2014/main" id="{05AF65B9-8615-428F-AD0D-10625C43C95F}"/>
            </a:ext>
          </a:extLst>
        </xdr:cNvPr>
        <xdr:cNvSpPr>
          <a:spLocks noChangeAspect="1" noChangeArrowheads="1"/>
        </xdr:cNvSpPr>
      </xdr:nvSpPr>
      <xdr:spPr bwMode="auto">
        <a:xfrm>
          <a:off x="10620375" y="2533650"/>
          <a:ext cx="295275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295275</xdr:colOff>
      <xdr:row>13</xdr:row>
      <xdr:rowOff>123825</xdr:rowOff>
    </xdr:to>
    <xdr:sp macro="" textlink="">
      <xdr:nvSpPr>
        <xdr:cNvPr id="3" name="AutoShape 16" descr="cid:image005.png@01CE799E.62F85A80">
          <a:extLst>
            <a:ext uri="{FF2B5EF4-FFF2-40B4-BE49-F238E27FC236}">
              <a16:creationId xmlns:a16="http://schemas.microsoft.com/office/drawing/2014/main" id="{D7F36BB0-9129-4A05-B944-FECDF99346E6}"/>
            </a:ext>
          </a:extLst>
        </xdr:cNvPr>
        <xdr:cNvSpPr>
          <a:spLocks noChangeAspect="1" noChangeArrowheads="1"/>
        </xdr:cNvSpPr>
      </xdr:nvSpPr>
      <xdr:spPr bwMode="auto">
        <a:xfrm>
          <a:off x="11620500" y="3609975"/>
          <a:ext cx="295275" cy="7715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72"/>
  <sheetViews>
    <sheetView tabSelected="1" zoomScaleNormal="100" workbookViewId="0">
      <pane xSplit="11" topLeftCell="L1" activePane="topRight" state="frozen"/>
      <selection pane="topRight" activeCell="E1" sqref="E1"/>
    </sheetView>
  </sheetViews>
  <sheetFormatPr defaultColWidth="9.1796875" defaultRowHeight="13" outlineLevelRow="1" x14ac:dyDescent="0.25"/>
  <cols>
    <col min="1" max="1" width="5.453125" style="22" customWidth="1"/>
    <col min="2" max="2" width="5.453125" style="23" customWidth="1"/>
    <col min="3" max="3" width="0.1796875" style="22" customWidth="1"/>
    <col min="4" max="4" width="11.1796875" style="22" customWidth="1"/>
    <col min="5" max="5" width="33.453125" style="23" bestFit="1" customWidth="1"/>
    <col min="6" max="6" width="12.08984375" style="23" customWidth="1"/>
    <col min="7" max="7" width="16.54296875" style="23" customWidth="1"/>
    <col min="8" max="8" width="8.7265625" style="23" customWidth="1"/>
    <col min="9" max="9" width="8.26953125" style="23" customWidth="1"/>
    <col min="10" max="10" width="8.54296875" style="56" customWidth="1"/>
    <col min="11" max="12" width="8" style="23" customWidth="1"/>
    <col min="13" max="13" width="22.81640625" style="23" hidden="1" customWidth="1"/>
    <col min="14" max="14" width="7.453125" style="23" customWidth="1"/>
    <col min="15" max="15" width="18.54296875" style="23" customWidth="1"/>
    <col min="16" max="16" width="12.26953125" style="23" customWidth="1"/>
    <col min="17" max="17" width="11.54296875" style="23" hidden="1" customWidth="1"/>
    <col min="18" max="18" width="0.1796875" style="23" hidden="1" customWidth="1"/>
    <col min="19" max="19" width="19" style="23" hidden="1" customWidth="1"/>
    <col min="20" max="20" width="7.453125" style="23" customWidth="1"/>
    <col min="21" max="21" width="9.1796875" style="23"/>
    <col min="22" max="16384" width="9.1796875" style="22"/>
  </cols>
  <sheetData>
    <row r="1" spans="2:21" x14ac:dyDescent="0.25">
      <c r="S1" s="30"/>
    </row>
    <row r="2" spans="2:21" s="29" customFormat="1" ht="60.75" customHeight="1" x14ac:dyDescent="0.25">
      <c r="B2" s="24" t="s">
        <v>0</v>
      </c>
      <c r="C2" s="25" t="s">
        <v>22</v>
      </c>
      <c r="D2" s="25" t="s">
        <v>23</v>
      </c>
      <c r="E2" s="25" t="s">
        <v>27</v>
      </c>
      <c r="F2" s="25" t="s">
        <v>28</v>
      </c>
      <c r="G2" s="25" t="s">
        <v>24</v>
      </c>
      <c r="H2" s="25" t="s">
        <v>25</v>
      </c>
      <c r="I2" s="54">
        <v>45444</v>
      </c>
      <c r="J2" s="54">
        <v>45474</v>
      </c>
      <c r="K2" s="25" t="s">
        <v>373</v>
      </c>
      <c r="L2" s="25" t="s">
        <v>374</v>
      </c>
      <c r="M2" s="25" t="s">
        <v>29</v>
      </c>
      <c r="N2" s="25" t="s">
        <v>7</v>
      </c>
      <c r="O2" s="25" t="s">
        <v>26</v>
      </c>
      <c r="P2" s="25" t="s">
        <v>11</v>
      </c>
      <c r="Q2" s="25" t="s">
        <v>30</v>
      </c>
      <c r="R2" s="37" t="s">
        <v>31</v>
      </c>
      <c r="S2" s="28" t="s">
        <v>32</v>
      </c>
      <c r="T2" s="51"/>
      <c r="U2" s="51"/>
    </row>
    <row r="3" spans="2:21" s="29" customFormat="1" ht="26" x14ac:dyDescent="0.25">
      <c r="B3" s="16">
        <v>1</v>
      </c>
      <c r="C3" s="19"/>
      <c r="D3" s="20" t="s">
        <v>370</v>
      </c>
      <c r="E3" s="45" t="s">
        <v>375</v>
      </c>
      <c r="F3" s="15" t="s">
        <v>119</v>
      </c>
      <c r="G3" s="15" t="s">
        <v>372</v>
      </c>
      <c r="H3" s="86">
        <v>23</v>
      </c>
      <c r="I3" s="15">
        <v>23</v>
      </c>
      <c r="J3" s="27"/>
      <c r="K3" s="15"/>
      <c r="L3" s="15">
        <v>0</v>
      </c>
      <c r="M3" s="15"/>
      <c r="N3" s="15" t="s">
        <v>376</v>
      </c>
      <c r="O3" s="15"/>
      <c r="P3" s="15" t="s">
        <v>377</v>
      </c>
      <c r="Q3" s="25"/>
      <c r="R3" s="37"/>
      <c r="S3" s="28"/>
      <c r="T3" s="51"/>
      <c r="U3" s="51"/>
    </row>
    <row r="4" spans="2:21" customFormat="1" ht="49.5" customHeight="1" outlineLevel="1" x14ac:dyDescent="0.25">
      <c r="B4" s="16">
        <v>2</v>
      </c>
      <c r="C4" s="19">
        <v>2</v>
      </c>
      <c r="D4" s="20" t="s">
        <v>370</v>
      </c>
      <c r="E4" s="45" t="s">
        <v>371</v>
      </c>
      <c r="F4" s="15" t="s">
        <v>119</v>
      </c>
      <c r="G4" s="15" t="s">
        <v>372</v>
      </c>
      <c r="H4" s="86">
        <v>450</v>
      </c>
      <c r="I4" s="15"/>
      <c r="J4" s="27"/>
      <c r="K4" s="15">
        <v>200</v>
      </c>
      <c r="L4" s="15">
        <v>200</v>
      </c>
      <c r="M4" s="15"/>
      <c r="N4" s="15" t="s">
        <v>56</v>
      </c>
      <c r="O4" s="15" t="s">
        <v>56</v>
      </c>
      <c r="P4" s="15" t="s">
        <v>65</v>
      </c>
      <c r="Q4" s="15" t="s">
        <v>70</v>
      </c>
      <c r="R4" s="34" t="s">
        <v>100</v>
      </c>
      <c r="S4" s="15">
        <v>50</v>
      </c>
      <c r="T4" s="38"/>
      <c r="U4" s="52"/>
    </row>
    <row r="5" spans="2:21" x14ac:dyDescent="0.25">
      <c r="B5" s="16">
        <v>3</v>
      </c>
      <c r="C5" s="49" t="s">
        <v>370</v>
      </c>
      <c r="D5" s="87" t="s">
        <v>378</v>
      </c>
      <c r="E5" s="30" t="s">
        <v>379</v>
      </c>
      <c r="F5" s="15" t="s">
        <v>119</v>
      </c>
      <c r="G5" s="15" t="s">
        <v>372</v>
      </c>
      <c r="H5" s="86">
        <v>650</v>
      </c>
      <c r="I5" s="30"/>
      <c r="J5" s="57"/>
      <c r="K5" s="30"/>
      <c r="L5" s="30">
        <v>600</v>
      </c>
      <c r="M5" s="16" t="s">
        <v>130</v>
      </c>
      <c r="N5" s="41" t="s">
        <v>56</v>
      </c>
      <c r="O5" s="41" t="s">
        <v>56</v>
      </c>
      <c r="P5" s="15" t="s">
        <v>65</v>
      </c>
      <c r="Q5" s="41" t="s">
        <v>70</v>
      </c>
      <c r="R5" s="30" t="s">
        <v>103</v>
      </c>
      <c r="S5" s="30">
        <v>70</v>
      </c>
    </row>
    <row r="6" spans="2:21" ht="16.5" customHeight="1" x14ac:dyDescent="0.25">
      <c r="B6" s="16">
        <v>4</v>
      </c>
      <c r="C6" s="19">
        <v>43055</v>
      </c>
      <c r="D6" s="20" t="s">
        <v>370</v>
      </c>
      <c r="E6" s="30" t="s">
        <v>380</v>
      </c>
      <c r="F6" s="15" t="s">
        <v>119</v>
      </c>
      <c r="G6" s="15" t="s">
        <v>372</v>
      </c>
      <c r="H6" s="86">
        <v>200</v>
      </c>
      <c r="I6" s="30"/>
      <c r="J6" s="15"/>
      <c r="K6" s="15"/>
      <c r="L6" s="15">
        <v>200</v>
      </c>
      <c r="M6" s="15" t="s">
        <v>58</v>
      </c>
      <c r="N6" s="15" t="s">
        <v>56</v>
      </c>
      <c r="O6" s="15" t="s">
        <v>56</v>
      </c>
      <c r="P6" s="15"/>
      <c r="Q6" s="16" t="s">
        <v>70</v>
      </c>
      <c r="R6" s="35" t="s">
        <v>103</v>
      </c>
      <c r="S6" s="30">
        <v>80</v>
      </c>
    </row>
    <row r="7" spans="2:21" ht="16.5" customHeight="1" x14ac:dyDescent="0.25">
      <c r="B7" s="16">
        <v>5</v>
      </c>
      <c r="C7" s="32">
        <v>43040</v>
      </c>
      <c r="D7" s="20" t="s">
        <v>370</v>
      </c>
      <c r="E7" s="30" t="s">
        <v>380</v>
      </c>
      <c r="F7" s="30" t="s">
        <v>119</v>
      </c>
      <c r="G7" s="16" t="s">
        <v>381</v>
      </c>
      <c r="H7" s="86">
        <v>100</v>
      </c>
      <c r="I7" s="30"/>
      <c r="J7" s="57"/>
      <c r="K7" s="30"/>
      <c r="L7" s="30">
        <v>100</v>
      </c>
      <c r="M7" s="16" t="s">
        <v>112</v>
      </c>
      <c r="N7" s="16" t="s">
        <v>56</v>
      </c>
      <c r="O7" s="16" t="s">
        <v>56</v>
      </c>
      <c r="P7" s="30"/>
      <c r="Q7" s="16" t="s">
        <v>70</v>
      </c>
      <c r="R7" s="36" t="s">
        <v>101</v>
      </c>
      <c r="S7" s="30">
        <v>50</v>
      </c>
    </row>
    <row r="8" spans="2:21" ht="16.5" customHeight="1" x14ac:dyDescent="0.25">
      <c r="B8" s="16">
        <v>6</v>
      </c>
      <c r="C8" s="32">
        <v>43070</v>
      </c>
      <c r="D8" s="30" t="s">
        <v>370</v>
      </c>
      <c r="E8" s="30" t="s">
        <v>382</v>
      </c>
      <c r="F8" s="30" t="s">
        <v>119</v>
      </c>
      <c r="G8" s="15" t="s">
        <v>372</v>
      </c>
      <c r="H8" s="86">
        <v>200</v>
      </c>
      <c r="I8" s="30"/>
      <c r="J8" s="30"/>
      <c r="K8" s="30"/>
      <c r="L8" s="30">
        <v>200</v>
      </c>
      <c r="M8" s="30" t="s">
        <v>58</v>
      </c>
      <c r="N8" s="16" t="s">
        <v>56</v>
      </c>
      <c r="O8" s="41" t="s">
        <v>56</v>
      </c>
      <c r="P8" s="15" t="s">
        <v>65</v>
      </c>
      <c r="Q8" s="41" t="s">
        <v>70</v>
      </c>
      <c r="R8" s="30" t="s">
        <v>124</v>
      </c>
      <c r="S8" s="30">
        <v>50</v>
      </c>
    </row>
    <row r="9" spans="2:21" ht="16.5" customHeight="1" x14ac:dyDescent="0.25">
      <c r="B9" s="16">
        <v>7</v>
      </c>
      <c r="C9" s="32">
        <v>7</v>
      </c>
      <c r="D9" s="20" t="s">
        <v>370</v>
      </c>
      <c r="E9" s="15" t="s">
        <v>382</v>
      </c>
      <c r="F9" s="30" t="s">
        <v>119</v>
      </c>
      <c r="G9" s="16" t="s">
        <v>381</v>
      </c>
      <c r="H9" s="86">
        <v>100</v>
      </c>
      <c r="I9" s="30"/>
      <c r="J9" s="30"/>
      <c r="K9" s="30">
        <v>100</v>
      </c>
      <c r="L9" s="30">
        <v>0</v>
      </c>
      <c r="M9" s="30"/>
      <c r="N9" s="16" t="s">
        <v>56</v>
      </c>
      <c r="O9" s="41" t="s">
        <v>56</v>
      </c>
      <c r="P9" s="15" t="s">
        <v>65</v>
      </c>
      <c r="Q9" s="30" t="s">
        <v>70</v>
      </c>
      <c r="R9" s="36" t="s">
        <v>103</v>
      </c>
      <c r="S9" s="30">
        <v>50</v>
      </c>
    </row>
    <row r="10" spans="2:21" customFormat="1" ht="30.5" customHeight="1" x14ac:dyDescent="0.25">
      <c r="B10" s="16">
        <v>8</v>
      </c>
      <c r="C10" s="88"/>
      <c r="D10" s="89" t="s">
        <v>370</v>
      </c>
      <c r="E10" s="90" t="s">
        <v>383</v>
      </c>
      <c r="F10" s="91" t="s">
        <v>119</v>
      </c>
      <c r="G10" s="91" t="s">
        <v>372</v>
      </c>
      <c r="H10" s="92">
        <v>90</v>
      </c>
      <c r="I10" s="91"/>
      <c r="J10" s="91"/>
      <c r="K10" s="91">
        <v>90</v>
      </c>
      <c r="L10" s="91">
        <v>0</v>
      </c>
      <c r="M10" s="91"/>
      <c r="N10" s="89" t="s">
        <v>56</v>
      </c>
      <c r="O10" s="93" t="s">
        <v>56</v>
      </c>
      <c r="P10" s="91" t="s">
        <v>101</v>
      </c>
      <c r="Q10" s="15" t="s">
        <v>70</v>
      </c>
      <c r="R10" s="34" t="s">
        <v>133</v>
      </c>
      <c r="S10" s="15">
        <v>100</v>
      </c>
      <c r="T10" s="38"/>
      <c r="U10" s="52"/>
    </row>
    <row r="11" spans="2:21" ht="16.5" customHeight="1" x14ac:dyDescent="0.25">
      <c r="B11" s="16">
        <v>9</v>
      </c>
      <c r="C11" s="32"/>
      <c r="D11" s="30" t="s">
        <v>370</v>
      </c>
      <c r="E11" s="16" t="s">
        <v>384</v>
      </c>
      <c r="F11" s="30" t="s">
        <v>385</v>
      </c>
      <c r="G11" s="15" t="s">
        <v>372</v>
      </c>
      <c r="H11" s="86">
        <v>80</v>
      </c>
      <c r="I11" s="30"/>
      <c r="J11" s="30"/>
      <c r="K11" s="30">
        <v>80</v>
      </c>
      <c r="L11" s="30">
        <v>0</v>
      </c>
      <c r="M11" s="30"/>
      <c r="N11" s="16" t="s">
        <v>56</v>
      </c>
      <c r="O11" s="41" t="s">
        <v>56</v>
      </c>
      <c r="P11" s="15" t="s">
        <v>65</v>
      </c>
      <c r="Q11" s="41" t="s">
        <v>70</v>
      </c>
      <c r="R11" s="30" t="s">
        <v>103</v>
      </c>
      <c r="S11" s="30">
        <v>50</v>
      </c>
    </row>
    <row r="12" spans="2:21" ht="16.5" customHeight="1" x14ac:dyDescent="0.25">
      <c r="B12" s="16">
        <v>10</v>
      </c>
      <c r="C12" s="32"/>
      <c r="D12" s="30" t="s">
        <v>370</v>
      </c>
      <c r="E12" s="30" t="s">
        <v>386</v>
      </c>
      <c r="F12" s="30" t="s">
        <v>385</v>
      </c>
      <c r="G12" s="15" t="s">
        <v>372</v>
      </c>
      <c r="H12" s="86">
        <v>180</v>
      </c>
      <c r="I12" s="30"/>
      <c r="J12" s="57"/>
      <c r="K12" s="30"/>
      <c r="L12" s="30">
        <v>180</v>
      </c>
      <c r="M12" s="30"/>
      <c r="N12" s="16" t="s">
        <v>56</v>
      </c>
      <c r="O12" s="41" t="s">
        <v>56</v>
      </c>
      <c r="P12" s="15" t="s">
        <v>65</v>
      </c>
      <c r="Q12" s="41" t="s">
        <v>70</v>
      </c>
      <c r="R12" s="30" t="s">
        <v>98</v>
      </c>
      <c r="S12" s="30">
        <v>70</v>
      </c>
    </row>
    <row r="13" spans="2:21" ht="16.5" customHeight="1" x14ac:dyDescent="0.25">
      <c r="B13" s="16">
        <v>11</v>
      </c>
      <c r="C13" s="32">
        <v>11</v>
      </c>
      <c r="D13" s="20" t="s">
        <v>370</v>
      </c>
      <c r="E13" s="30" t="s">
        <v>387</v>
      </c>
      <c r="F13" s="30" t="s">
        <v>385</v>
      </c>
      <c r="G13" s="15" t="s">
        <v>372</v>
      </c>
      <c r="H13" s="86">
        <v>93</v>
      </c>
      <c r="I13" s="30"/>
      <c r="J13" s="57"/>
      <c r="K13" s="30"/>
      <c r="L13" s="30">
        <v>93</v>
      </c>
      <c r="M13" s="30"/>
      <c r="N13" s="30" t="s">
        <v>56</v>
      </c>
      <c r="O13" s="16" t="s">
        <v>56</v>
      </c>
      <c r="P13" s="30" t="s">
        <v>65</v>
      </c>
      <c r="Q13" s="30" t="s">
        <v>70</v>
      </c>
      <c r="R13" s="36" t="s">
        <v>103</v>
      </c>
      <c r="S13" s="30">
        <v>50</v>
      </c>
    </row>
    <row r="14" spans="2:21" ht="16.5" customHeight="1" x14ac:dyDescent="0.25">
      <c r="B14" s="16">
        <v>12</v>
      </c>
      <c r="C14" s="32"/>
      <c r="D14" s="20" t="s">
        <v>370</v>
      </c>
      <c r="E14" s="98" t="s">
        <v>388</v>
      </c>
      <c r="F14" s="30" t="s">
        <v>385</v>
      </c>
      <c r="G14" s="15" t="s">
        <v>372</v>
      </c>
      <c r="H14" s="86">
        <v>1000</v>
      </c>
      <c r="I14" s="30"/>
      <c r="J14" s="57"/>
      <c r="K14" s="30"/>
      <c r="L14" s="30">
        <v>1000</v>
      </c>
      <c r="M14" s="30"/>
      <c r="N14" s="30" t="s">
        <v>56</v>
      </c>
      <c r="O14" s="16" t="s">
        <v>56</v>
      </c>
      <c r="P14" s="30" t="s">
        <v>65</v>
      </c>
      <c r="Q14" s="30" t="s">
        <v>70</v>
      </c>
      <c r="R14" s="36" t="s">
        <v>103</v>
      </c>
      <c r="S14" s="30">
        <v>50</v>
      </c>
    </row>
    <row r="15" spans="2:21" ht="16.5" customHeight="1" x14ac:dyDescent="0.25">
      <c r="B15" s="16">
        <v>13</v>
      </c>
      <c r="C15" s="32"/>
      <c r="D15" s="94" t="s">
        <v>370</v>
      </c>
      <c r="E15" s="63" t="s">
        <v>389</v>
      </c>
      <c r="F15" s="63" t="s">
        <v>385</v>
      </c>
      <c r="G15" s="95" t="s">
        <v>372</v>
      </c>
      <c r="H15" s="96">
        <v>36</v>
      </c>
      <c r="I15" s="63"/>
      <c r="J15" s="97"/>
      <c r="K15" s="63"/>
      <c r="L15" s="63">
        <v>36</v>
      </c>
      <c r="M15" s="63"/>
      <c r="N15" s="63" t="s">
        <v>56</v>
      </c>
      <c r="O15" s="94" t="s">
        <v>56</v>
      </c>
      <c r="P15" s="63" t="s">
        <v>65</v>
      </c>
      <c r="Q15" s="30" t="s">
        <v>70</v>
      </c>
      <c r="R15" s="36" t="s">
        <v>103</v>
      </c>
      <c r="S15" s="30">
        <v>70</v>
      </c>
    </row>
    <row r="16" spans="2:21" ht="16.5" customHeight="1" x14ac:dyDescent="0.25">
      <c r="B16" s="16">
        <v>14</v>
      </c>
      <c r="C16" s="32"/>
      <c r="D16" s="30" t="s">
        <v>370</v>
      </c>
      <c r="E16" s="30" t="s">
        <v>390</v>
      </c>
      <c r="F16" s="30" t="s">
        <v>385</v>
      </c>
      <c r="G16" s="15" t="s">
        <v>372</v>
      </c>
      <c r="H16" s="86">
        <v>53</v>
      </c>
      <c r="I16" s="30"/>
      <c r="J16" s="57"/>
      <c r="K16" s="30"/>
      <c r="L16" s="30">
        <v>53</v>
      </c>
      <c r="M16" s="30"/>
      <c r="N16" s="30" t="s">
        <v>56</v>
      </c>
      <c r="O16" s="16" t="s">
        <v>56</v>
      </c>
      <c r="P16" s="30" t="s">
        <v>65</v>
      </c>
      <c r="Q16" s="41" t="s">
        <v>70</v>
      </c>
      <c r="R16" s="30" t="s">
        <v>103</v>
      </c>
      <c r="S16" s="30">
        <v>50</v>
      </c>
    </row>
    <row r="17" spans="2:21" ht="16.5" customHeight="1" x14ac:dyDescent="0.25">
      <c r="B17" s="16">
        <v>15</v>
      </c>
      <c r="C17" s="32"/>
      <c r="D17" s="30" t="s">
        <v>370</v>
      </c>
      <c r="E17" s="30" t="s">
        <v>391</v>
      </c>
      <c r="F17" s="30" t="s">
        <v>385</v>
      </c>
      <c r="G17" s="15" t="s">
        <v>372</v>
      </c>
      <c r="H17" s="86">
        <v>68</v>
      </c>
      <c r="I17" s="30"/>
      <c r="J17" s="57"/>
      <c r="K17" s="30"/>
      <c r="L17" s="86">
        <v>68</v>
      </c>
      <c r="M17" s="30"/>
      <c r="N17" s="30" t="s">
        <v>56</v>
      </c>
      <c r="O17" s="16" t="s">
        <v>56</v>
      </c>
      <c r="P17" s="30" t="s">
        <v>65</v>
      </c>
      <c r="Q17" s="41" t="s">
        <v>70</v>
      </c>
      <c r="R17" s="30" t="s">
        <v>133</v>
      </c>
      <c r="S17" s="30">
        <v>60</v>
      </c>
    </row>
    <row r="18" spans="2:21" ht="16.5" customHeight="1" x14ac:dyDescent="0.25">
      <c r="B18" s="16"/>
      <c r="C18" s="32"/>
      <c r="D18" s="30" t="s">
        <v>370</v>
      </c>
      <c r="E18" s="30" t="s">
        <v>392</v>
      </c>
      <c r="F18" s="30" t="s">
        <v>385</v>
      </c>
      <c r="G18" s="15" t="s">
        <v>372</v>
      </c>
      <c r="H18" s="86">
        <v>35</v>
      </c>
      <c r="I18" s="30"/>
      <c r="J18" s="57"/>
      <c r="K18" s="30"/>
      <c r="L18" s="30">
        <v>35</v>
      </c>
      <c r="M18" s="30"/>
      <c r="N18" s="30" t="s">
        <v>56</v>
      </c>
      <c r="O18" s="16" t="s">
        <v>56</v>
      </c>
      <c r="P18" s="30" t="s">
        <v>65</v>
      </c>
      <c r="Q18" s="41" t="s">
        <v>70</v>
      </c>
      <c r="R18" s="36" t="s">
        <v>133</v>
      </c>
      <c r="S18" s="30">
        <v>50</v>
      </c>
    </row>
    <row r="19" spans="2:21" customFormat="1" ht="16.5" customHeight="1" x14ac:dyDescent="0.25">
      <c r="B19" s="16"/>
      <c r="C19" s="19"/>
      <c r="D19" s="20"/>
      <c r="E19" s="45"/>
      <c r="F19" s="15"/>
      <c r="G19" s="15"/>
      <c r="H19" s="86"/>
      <c r="I19" s="15"/>
      <c r="J19" s="27"/>
      <c r="K19" s="15"/>
      <c r="L19" s="15"/>
      <c r="M19" s="15"/>
      <c r="N19" s="15"/>
      <c r="O19" s="15"/>
      <c r="P19" s="15"/>
      <c r="Q19" s="41" t="s">
        <v>70</v>
      </c>
      <c r="R19" s="34" t="s">
        <v>133</v>
      </c>
      <c r="S19" s="27">
        <v>50</v>
      </c>
      <c r="T19" s="50"/>
      <c r="U19" s="52"/>
    </row>
    <row r="20" spans="2:21" ht="16.5" customHeight="1" x14ac:dyDescent="0.25">
      <c r="B20" s="16"/>
      <c r="C20" s="32"/>
      <c r="D20" s="30"/>
      <c r="E20" s="30"/>
      <c r="F20" s="30"/>
      <c r="G20" s="30"/>
      <c r="H20" s="86"/>
      <c r="I20" s="30"/>
      <c r="J20" s="57"/>
      <c r="K20" s="30"/>
      <c r="L20" s="30"/>
      <c r="M20" s="30"/>
      <c r="N20" s="30"/>
      <c r="O20" s="41"/>
      <c r="P20" s="30"/>
      <c r="Q20" s="41" t="s">
        <v>70</v>
      </c>
      <c r="R20" s="30" t="s">
        <v>103</v>
      </c>
      <c r="S20" s="30">
        <v>60</v>
      </c>
    </row>
    <row r="21" spans="2:21" ht="16.5" customHeight="1" x14ac:dyDescent="0.25">
      <c r="B21" s="16"/>
      <c r="C21" s="32"/>
      <c r="D21" s="30"/>
      <c r="E21" s="30"/>
      <c r="F21" s="30"/>
      <c r="G21" s="30"/>
      <c r="H21" s="86"/>
      <c r="I21" s="30"/>
      <c r="J21" s="57"/>
      <c r="K21" s="30"/>
      <c r="L21" s="30"/>
      <c r="M21" s="30"/>
      <c r="N21" s="30"/>
      <c r="O21" s="41"/>
      <c r="P21" s="30"/>
      <c r="Q21" s="41" t="s">
        <v>70</v>
      </c>
      <c r="R21" s="30" t="s">
        <v>103</v>
      </c>
      <c r="S21" s="30">
        <v>60</v>
      </c>
    </row>
    <row r="22" spans="2:21" ht="16.5" customHeight="1" x14ac:dyDescent="0.25">
      <c r="B22" s="16"/>
      <c r="C22" s="32"/>
      <c r="D22" s="30"/>
      <c r="E22" s="30"/>
      <c r="F22" s="30"/>
      <c r="G22" s="30"/>
      <c r="H22" s="86"/>
      <c r="I22" s="30"/>
      <c r="J22" s="57"/>
      <c r="K22" s="30"/>
      <c r="L22" s="30"/>
      <c r="M22" s="30"/>
      <c r="N22" s="30"/>
      <c r="O22" s="41"/>
      <c r="P22" s="30"/>
      <c r="Q22" s="41" t="s">
        <v>70</v>
      </c>
      <c r="R22" s="30" t="s">
        <v>103</v>
      </c>
      <c r="S22" s="30">
        <v>60</v>
      </c>
    </row>
    <row r="23" spans="2:21" ht="16.5" customHeight="1" x14ac:dyDescent="0.25">
      <c r="B23" s="16"/>
      <c r="C23" s="32"/>
      <c r="D23" s="30"/>
      <c r="E23" s="30"/>
      <c r="F23" s="30"/>
      <c r="G23" s="30"/>
      <c r="H23" s="86"/>
      <c r="I23" s="30"/>
      <c r="J23" s="57"/>
      <c r="K23" s="30"/>
      <c r="L23" s="30"/>
      <c r="M23" s="30"/>
      <c r="N23" s="30"/>
      <c r="O23" s="41"/>
      <c r="P23" s="30"/>
      <c r="Q23" s="41" t="s">
        <v>70</v>
      </c>
      <c r="R23" s="30" t="s">
        <v>103</v>
      </c>
      <c r="S23" s="30">
        <v>50</v>
      </c>
    </row>
    <row r="24" spans="2:21" ht="16.5" customHeight="1" x14ac:dyDescent="0.25">
      <c r="B24" s="16"/>
      <c r="C24" s="32"/>
      <c r="D24" s="30"/>
      <c r="E24" s="30"/>
      <c r="F24" s="30"/>
      <c r="G24" s="30"/>
      <c r="H24" s="86"/>
      <c r="I24" s="30"/>
      <c r="J24" s="57"/>
      <c r="K24" s="30"/>
      <c r="L24" s="30"/>
      <c r="M24" s="30"/>
      <c r="N24" s="30"/>
      <c r="O24" s="41"/>
      <c r="P24" s="30"/>
      <c r="Q24" s="41" t="s">
        <v>70</v>
      </c>
      <c r="R24" s="30" t="s">
        <v>103</v>
      </c>
      <c r="S24" s="30">
        <v>70</v>
      </c>
    </row>
    <row r="25" spans="2:21" ht="16.5" customHeight="1" x14ac:dyDescent="0.25">
      <c r="B25" s="16"/>
      <c r="C25" s="32"/>
      <c r="D25" s="30"/>
      <c r="E25" s="30"/>
      <c r="F25" s="30"/>
      <c r="G25" s="30"/>
      <c r="H25" s="86"/>
      <c r="I25" s="30"/>
      <c r="J25" s="57"/>
      <c r="K25" s="30"/>
      <c r="L25" s="30"/>
      <c r="M25" s="30"/>
      <c r="N25" s="30"/>
      <c r="O25" s="41"/>
      <c r="P25" s="30"/>
      <c r="Q25" s="41" t="s">
        <v>70</v>
      </c>
      <c r="R25" s="30" t="s">
        <v>101</v>
      </c>
      <c r="S25" s="30">
        <v>40</v>
      </c>
    </row>
    <row r="26" spans="2:21" ht="16.5" customHeight="1" x14ac:dyDescent="0.25">
      <c r="B26" s="16"/>
      <c r="C26" s="32"/>
      <c r="D26" s="30"/>
      <c r="E26" s="30"/>
      <c r="F26" s="30"/>
      <c r="G26" s="30"/>
      <c r="H26" s="86"/>
      <c r="I26" s="30"/>
      <c r="J26" s="57"/>
      <c r="K26" s="30"/>
      <c r="L26" s="30"/>
      <c r="M26" s="30"/>
      <c r="N26" s="30"/>
      <c r="O26" s="41"/>
      <c r="P26" s="30"/>
      <c r="Q26" s="41" t="s">
        <v>70</v>
      </c>
      <c r="R26" s="30" t="s">
        <v>103</v>
      </c>
      <c r="S26" s="30">
        <v>70</v>
      </c>
    </row>
    <row r="27" spans="2:21" ht="16.5" customHeight="1" x14ac:dyDescent="0.25">
      <c r="B27" s="16"/>
      <c r="C27" s="32"/>
      <c r="D27" s="30"/>
      <c r="E27" s="30"/>
      <c r="F27" s="30"/>
      <c r="G27" s="30"/>
      <c r="H27" s="86"/>
      <c r="I27" s="30"/>
      <c r="J27" s="57"/>
      <c r="K27" s="30"/>
      <c r="L27" s="30"/>
      <c r="M27" s="30"/>
      <c r="N27" s="30"/>
      <c r="O27" s="41"/>
      <c r="P27" s="30"/>
      <c r="Q27" s="41" t="s">
        <v>70</v>
      </c>
      <c r="R27" s="30" t="s">
        <v>103</v>
      </c>
      <c r="S27" s="30">
        <v>90</v>
      </c>
    </row>
    <row r="28" spans="2:21" ht="16.5" customHeight="1" x14ac:dyDescent="0.25">
      <c r="B28" s="16"/>
      <c r="C28" s="32"/>
      <c r="D28" s="20"/>
      <c r="E28" s="30"/>
      <c r="F28" s="30"/>
      <c r="G28" s="16"/>
      <c r="H28" s="86"/>
      <c r="I28" s="30"/>
      <c r="J28" s="30"/>
      <c r="K28" s="57"/>
      <c r="L28" s="57"/>
      <c r="M28" s="15"/>
      <c r="N28" s="16"/>
      <c r="O28" s="16"/>
      <c r="P28" s="16"/>
      <c r="Q28" s="16" t="s">
        <v>70</v>
      </c>
      <c r="R28" s="35" t="s">
        <v>366</v>
      </c>
      <c r="S28" s="16">
        <v>80</v>
      </c>
    </row>
    <row r="29" spans="2:21" ht="16.5" customHeight="1" x14ac:dyDescent="0.25">
      <c r="B29" s="16"/>
      <c r="C29" s="18"/>
      <c r="D29" s="20"/>
      <c r="E29" s="30"/>
      <c r="F29" s="30"/>
      <c r="G29" s="16"/>
      <c r="H29" s="86"/>
      <c r="I29" s="30"/>
      <c r="J29" s="30"/>
      <c r="K29" s="57"/>
      <c r="L29" s="57"/>
      <c r="M29" s="16"/>
      <c r="N29" s="16"/>
      <c r="O29" s="16"/>
      <c r="P29" s="16"/>
      <c r="Q29" s="16" t="s">
        <v>70</v>
      </c>
      <c r="R29" s="35" t="s">
        <v>103</v>
      </c>
      <c r="S29" s="30">
        <v>80</v>
      </c>
    </row>
    <row r="30" spans="2:21" ht="16.5" customHeight="1" x14ac:dyDescent="0.25">
      <c r="B30" s="16"/>
      <c r="C30" s="32"/>
      <c r="D30" s="20"/>
      <c r="E30" s="30"/>
      <c r="F30" s="16"/>
      <c r="G30" s="16"/>
      <c r="H30" s="86"/>
      <c r="I30" s="30"/>
      <c r="J30" s="30"/>
      <c r="K30" s="57"/>
      <c r="L30" s="57"/>
      <c r="M30" s="15"/>
      <c r="N30" s="16"/>
      <c r="O30" s="16"/>
      <c r="P30" s="16"/>
      <c r="Q30" s="16" t="s">
        <v>70</v>
      </c>
      <c r="R30" s="35" t="s">
        <v>103</v>
      </c>
      <c r="S30" s="30">
        <v>80</v>
      </c>
    </row>
    <row r="31" spans="2:21" ht="16.5" customHeight="1" x14ac:dyDescent="0.25">
      <c r="B31" s="16"/>
      <c r="C31" s="32"/>
      <c r="D31" s="20"/>
      <c r="E31" s="30"/>
      <c r="F31" s="16"/>
      <c r="G31" s="16"/>
      <c r="H31" s="86"/>
      <c r="I31" s="30"/>
      <c r="J31" s="30"/>
      <c r="K31" s="57"/>
      <c r="L31" s="57"/>
      <c r="M31" s="15"/>
      <c r="N31" s="16"/>
      <c r="O31" s="16"/>
      <c r="P31" s="16"/>
      <c r="Q31" s="16" t="s">
        <v>70</v>
      </c>
      <c r="R31" s="35" t="s">
        <v>103</v>
      </c>
      <c r="S31" s="30">
        <v>80</v>
      </c>
    </row>
    <row r="32" spans="2:21" ht="16.5" customHeight="1" x14ac:dyDescent="0.25">
      <c r="B32" s="16"/>
      <c r="C32" s="49"/>
      <c r="D32" s="20"/>
      <c r="E32" s="42"/>
      <c r="F32" s="26"/>
      <c r="G32" s="33"/>
      <c r="H32" s="86"/>
      <c r="I32" s="30"/>
      <c r="J32" s="30"/>
      <c r="K32" s="57"/>
      <c r="L32" s="57"/>
      <c r="M32" s="15"/>
      <c r="N32" s="16"/>
      <c r="O32" s="16"/>
      <c r="P32" s="16"/>
      <c r="Q32" s="16" t="s">
        <v>70</v>
      </c>
      <c r="R32" s="35" t="s">
        <v>367</v>
      </c>
      <c r="S32" s="16">
        <v>100</v>
      </c>
    </row>
    <row r="33" spans="2:19" ht="16.5" customHeight="1" x14ac:dyDescent="0.25">
      <c r="B33" s="16"/>
      <c r="C33" s="49"/>
      <c r="D33" s="20"/>
      <c r="E33" s="16"/>
      <c r="F33" s="16"/>
      <c r="G33" s="15"/>
      <c r="H33" s="86"/>
      <c r="I33" s="30"/>
      <c r="J33" s="30"/>
      <c r="K33" s="57"/>
      <c r="L33" s="57"/>
      <c r="M33" s="16"/>
      <c r="N33" s="16"/>
      <c r="O33" s="16"/>
      <c r="P33" s="16"/>
      <c r="Q33" s="16" t="s">
        <v>70</v>
      </c>
      <c r="R33" s="35" t="s">
        <v>368</v>
      </c>
      <c r="S33" s="16">
        <v>70</v>
      </c>
    </row>
    <row r="34" spans="2:19" ht="16.5" customHeight="1" x14ac:dyDescent="0.25">
      <c r="B34" s="16"/>
      <c r="C34" s="32"/>
      <c r="D34" s="20"/>
      <c r="E34" s="30"/>
      <c r="F34" s="30"/>
      <c r="G34" s="30"/>
      <c r="H34" s="86"/>
      <c r="I34" s="30"/>
      <c r="J34" s="30"/>
      <c r="K34" s="57"/>
      <c r="L34" s="57"/>
      <c r="M34" s="30"/>
      <c r="N34" s="16"/>
      <c r="O34" s="16"/>
      <c r="P34" s="16"/>
      <c r="Q34" s="16" t="s">
        <v>70</v>
      </c>
      <c r="R34" s="35" t="s">
        <v>367</v>
      </c>
      <c r="S34" s="30">
        <v>80</v>
      </c>
    </row>
    <row r="35" spans="2:19" ht="16.5" customHeight="1" x14ac:dyDescent="0.25">
      <c r="B35" s="16"/>
      <c r="C35" s="32"/>
      <c r="D35" s="20"/>
      <c r="E35" s="30"/>
      <c r="F35" s="26"/>
      <c r="G35" s="30"/>
      <c r="H35" s="86"/>
      <c r="I35" s="30"/>
      <c r="J35" s="30"/>
      <c r="K35" s="57"/>
      <c r="L35" s="57"/>
      <c r="M35" s="16"/>
      <c r="N35" s="16"/>
      <c r="O35" s="16"/>
      <c r="P35" s="16"/>
      <c r="Q35" s="16" t="s">
        <v>70</v>
      </c>
      <c r="R35" s="35" t="s">
        <v>366</v>
      </c>
      <c r="S35" s="30">
        <v>80</v>
      </c>
    </row>
    <row r="36" spans="2:19" ht="16.5" customHeight="1" x14ac:dyDescent="0.25">
      <c r="B36" s="16"/>
      <c r="C36" s="49"/>
      <c r="D36" s="44"/>
      <c r="E36" s="30"/>
      <c r="F36" s="26"/>
      <c r="G36" s="48"/>
      <c r="H36" s="86"/>
      <c r="I36" s="48"/>
      <c r="J36" s="48"/>
      <c r="K36" s="59"/>
      <c r="L36" s="59"/>
      <c r="M36" s="16"/>
      <c r="N36" s="41"/>
      <c r="O36" s="41"/>
      <c r="P36" s="41"/>
      <c r="Q36" s="41" t="s">
        <v>70</v>
      </c>
      <c r="R36" s="30" t="s">
        <v>124</v>
      </c>
      <c r="S36" s="30">
        <v>70</v>
      </c>
    </row>
    <row r="37" spans="2:19" ht="16.5" customHeight="1" x14ac:dyDescent="0.25">
      <c r="B37" s="16"/>
      <c r="C37" s="32"/>
      <c r="D37" s="44"/>
      <c r="E37" s="30"/>
      <c r="F37" s="30"/>
      <c r="G37" s="48"/>
      <c r="H37" s="86"/>
      <c r="I37" s="30"/>
      <c r="J37" s="30"/>
      <c r="K37" s="57"/>
      <c r="L37" s="57"/>
      <c r="M37" s="15"/>
      <c r="N37" s="41"/>
      <c r="O37" s="41"/>
      <c r="P37" s="41"/>
      <c r="Q37" s="41" t="s">
        <v>70</v>
      </c>
      <c r="R37" s="35" t="s">
        <v>103</v>
      </c>
      <c r="S37" s="30">
        <v>70</v>
      </c>
    </row>
    <row r="38" spans="2:19" ht="16.5" customHeight="1" x14ac:dyDescent="0.25">
      <c r="B38" s="16"/>
      <c r="C38" s="49"/>
      <c r="D38" s="44"/>
      <c r="E38" s="30"/>
      <c r="F38" s="30"/>
      <c r="G38" s="48"/>
      <c r="H38" s="86"/>
      <c r="I38" s="30"/>
      <c r="J38" s="30"/>
      <c r="K38" s="57"/>
      <c r="L38" s="57"/>
      <c r="M38" s="16"/>
      <c r="N38" s="41"/>
      <c r="O38" s="41"/>
      <c r="P38" s="41"/>
      <c r="Q38" s="41" t="s">
        <v>70</v>
      </c>
      <c r="R38" s="35" t="s">
        <v>368</v>
      </c>
      <c r="S38" s="30">
        <v>80</v>
      </c>
    </row>
    <row r="39" spans="2:19" ht="16.5" customHeight="1" x14ac:dyDescent="0.25">
      <c r="B39" s="16"/>
      <c r="C39" s="49"/>
      <c r="D39" s="44"/>
      <c r="E39" s="30"/>
      <c r="F39" s="30"/>
      <c r="G39" s="48"/>
      <c r="H39" s="86"/>
      <c r="I39" s="30"/>
      <c r="J39" s="30"/>
      <c r="K39" s="57"/>
      <c r="L39" s="57"/>
      <c r="M39" s="16"/>
      <c r="N39" s="41"/>
      <c r="O39" s="41"/>
      <c r="P39" s="41"/>
      <c r="Q39" s="41" t="s">
        <v>70</v>
      </c>
      <c r="R39" s="35" t="s">
        <v>366</v>
      </c>
      <c r="S39" s="30">
        <v>70</v>
      </c>
    </row>
    <row r="40" spans="2:19" ht="16.5" customHeight="1" x14ac:dyDescent="0.25">
      <c r="B40" s="16"/>
      <c r="C40" s="49"/>
      <c r="D40" s="44"/>
      <c r="E40" s="30"/>
      <c r="F40" s="30"/>
      <c r="G40" s="48"/>
      <c r="H40" s="86"/>
      <c r="I40" s="85"/>
      <c r="J40" s="30"/>
      <c r="K40" s="57"/>
      <c r="L40" s="57"/>
      <c r="M40" s="15"/>
      <c r="N40" s="41"/>
      <c r="O40" s="41"/>
      <c r="P40" s="41"/>
      <c r="Q40" s="41" t="s">
        <v>70</v>
      </c>
      <c r="R40" s="35" t="s">
        <v>369</v>
      </c>
      <c r="S40" s="30">
        <v>80</v>
      </c>
    </row>
    <row r="41" spans="2:19" ht="16.5" customHeight="1" x14ac:dyDescent="0.25">
      <c r="B41" s="16"/>
      <c r="C41" s="49"/>
      <c r="D41" s="44"/>
      <c r="E41" s="30"/>
      <c r="F41" s="30"/>
      <c r="G41" s="48"/>
      <c r="H41" s="86"/>
      <c r="I41" s="30"/>
      <c r="J41" s="30"/>
      <c r="K41" s="57"/>
      <c r="L41" s="57"/>
      <c r="M41" s="30"/>
      <c r="N41" s="41"/>
      <c r="O41" s="41"/>
      <c r="P41" s="41"/>
      <c r="Q41" s="41" t="s">
        <v>70</v>
      </c>
      <c r="R41" s="35" t="s">
        <v>369</v>
      </c>
      <c r="S41" s="30">
        <v>80</v>
      </c>
    </row>
    <row r="42" spans="2:19" ht="16.5" customHeight="1" x14ac:dyDescent="0.25">
      <c r="B42" s="16"/>
      <c r="C42" s="49"/>
      <c r="D42" s="44"/>
      <c r="E42" s="30"/>
      <c r="F42" s="30"/>
      <c r="G42" s="48"/>
      <c r="H42" s="86"/>
      <c r="I42" s="30"/>
      <c r="J42" s="30"/>
      <c r="K42" s="57"/>
      <c r="L42" s="57"/>
      <c r="M42" s="16"/>
      <c r="N42" s="41"/>
      <c r="O42" s="41"/>
      <c r="P42" s="41"/>
      <c r="Q42" s="41" t="s">
        <v>70</v>
      </c>
      <c r="R42" s="35" t="s">
        <v>367</v>
      </c>
      <c r="S42" s="30">
        <v>70</v>
      </c>
    </row>
    <row r="43" spans="2:19" ht="16.5" customHeight="1" x14ac:dyDescent="0.25">
      <c r="B43" s="16"/>
      <c r="C43" s="32"/>
      <c r="D43" s="20"/>
      <c r="E43" s="30"/>
      <c r="F43" s="30"/>
      <c r="G43" s="48"/>
      <c r="H43" s="86"/>
      <c r="I43" s="30"/>
      <c r="J43" s="30"/>
      <c r="K43" s="57"/>
      <c r="L43" s="57"/>
      <c r="M43" s="16"/>
      <c r="N43" s="41"/>
      <c r="O43" s="41"/>
      <c r="P43" s="41"/>
      <c r="Q43" s="41" t="s">
        <v>70</v>
      </c>
      <c r="R43" s="35" t="s">
        <v>367</v>
      </c>
      <c r="S43" s="30">
        <v>70</v>
      </c>
    </row>
    <row r="44" spans="2:19" ht="16.5" customHeight="1" x14ac:dyDescent="0.25">
      <c r="B44" s="16"/>
      <c r="C44" s="32"/>
      <c r="D44" s="20"/>
      <c r="E44" s="30"/>
      <c r="F44" s="30"/>
      <c r="G44" s="48"/>
      <c r="H44" s="86"/>
      <c r="I44" s="30"/>
      <c r="J44" s="30"/>
      <c r="K44" s="57"/>
      <c r="L44" s="57"/>
      <c r="M44" s="16"/>
      <c r="N44" s="41"/>
      <c r="O44" s="41"/>
      <c r="P44" s="41"/>
      <c r="Q44" s="41" t="s">
        <v>70</v>
      </c>
      <c r="R44" s="35" t="s">
        <v>369</v>
      </c>
      <c r="S44" s="30">
        <v>70</v>
      </c>
    </row>
    <row r="45" spans="2:19" ht="16.5" customHeight="1" x14ac:dyDescent="0.25">
      <c r="B45" s="16"/>
      <c r="C45" s="49"/>
      <c r="D45" s="20"/>
      <c r="E45" s="30"/>
      <c r="F45" s="30"/>
      <c r="G45" s="48"/>
      <c r="H45" s="86"/>
      <c r="I45" s="30"/>
      <c r="J45" s="30"/>
      <c r="K45" s="57"/>
      <c r="L45" s="57"/>
      <c r="M45" s="16"/>
      <c r="N45" s="41"/>
      <c r="O45" s="41"/>
      <c r="P45" s="41"/>
      <c r="Q45" s="41" t="s">
        <v>70</v>
      </c>
      <c r="R45" s="35" t="s">
        <v>369</v>
      </c>
      <c r="S45" s="30">
        <v>70</v>
      </c>
    </row>
    <row r="46" spans="2:19" ht="16.5" customHeight="1" x14ac:dyDescent="0.25">
      <c r="B46" s="16"/>
      <c r="C46" s="49"/>
      <c r="D46" s="30"/>
      <c r="E46" s="30"/>
      <c r="F46" s="30"/>
      <c r="G46" s="30"/>
      <c r="H46" s="86"/>
      <c r="I46" s="30"/>
      <c r="J46" s="30"/>
      <c r="K46" s="57"/>
      <c r="L46" s="57"/>
      <c r="M46" s="16"/>
      <c r="N46" s="41"/>
      <c r="O46" s="41"/>
      <c r="P46" s="30"/>
      <c r="Q46" s="41" t="s">
        <v>70</v>
      </c>
      <c r="R46" s="30"/>
      <c r="S46" s="30"/>
    </row>
    <row r="47" spans="2:19" ht="16.5" customHeight="1" x14ac:dyDescent="0.25">
      <c r="B47" s="16"/>
      <c r="C47" s="49"/>
      <c r="D47" s="30"/>
      <c r="E47" s="30"/>
      <c r="F47" s="30"/>
      <c r="G47" s="30"/>
      <c r="H47" s="86"/>
      <c r="I47" s="30"/>
      <c r="J47" s="57"/>
      <c r="K47" s="30"/>
      <c r="L47" s="30"/>
      <c r="M47" s="30"/>
      <c r="N47" s="41"/>
      <c r="O47" s="41"/>
      <c r="P47" s="30"/>
      <c r="Q47" s="41" t="s">
        <v>70</v>
      </c>
      <c r="R47" s="30"/>
      <c r="S47" s="30"/>
    </row>
    <row r="48" spans="2:19" ht="16.5" customHeight="1" x14ac:dyDescent="0.25">
      <c r="B48" s="16"/>
      <c r="C48" s="49"/>
      <c r="D48" s="30"/>
      <c r="E48" s="30"/>
      <c r="F48" s="30"/>
      <c r="G48" s="30"/>
      <c r="H48" s="86"/>
      <c r="I48" s="30"/>
      <c r="J48" s="57"/>
      <c r="K48" s="30"/>
      <c r="L48" s="30"/>
      <c r="M48" s="30"/>
      <c r="N48" s="41"/>
      <c r="O48" s="41"/>
      <c r="P48" s="30"/>
      <c r="Q48" s="41" t="s">
        <v>70</v>
      </c>
      <c r="R48" s="30"/>
      <c r="S48" s="30"/>
    </row>
    <row r="49" spans="2:19" ht="16.5" customHeight="1" x14ac:dyDescent="0.25">
      <c r="B49" s="16"/>
      <c r="C49" s="49"/>
      <c r="D49" s="30"/>
      <c r="E49" s="30"/>
      <c r="F49" s="30"/>
      <c r="G49" s="30"/>
      <c r="H49" s="86"/>
      <c r="I49" s="30"/>
      <c r="J49" s="57"/>
      <c r="K49" s="30"/>
      <c r="L49" s="30"/>
      <c r="M49" s="30"/>
      <c r="N49" s="41"/>
      <c r="O49" s="41"/>
      <c r="P49" s="30"/>
      <c r="Q49" s="41" t="s">
        <v>70</v>
      </c>
      <c r="R49" s="30"/>
      <c r="S49" s="30"/>
    </row>
    <row r="50" spans="2:19" ht="16.5" customHeight="1" x14ac:dyDescent="0.25">
      <c r="B50" s="16"/>
      <c r="C50" s="32"/>
      <c r="D50" s="30"/>
      <c r="E50" s="30"/>
      <c r="F50" s="30"/>
      <c r="G50" s="30"/>
      <c r="H50" s="86"/>
      <c r="I50" s="30"/>
      <c r="J50" s="57"/>
      <c r="K50" s="30"/>
      <c r="L50" s="30"/>
      <c r="M50" s="30"/>
      <c r="N50" s="41"/>
      <c r="O50" s="41"/>
      <c r="P50" s="30"/>
      <c r="Q50" s="30"/>
      <c r="R50" s="30"/>
      <c r="S50" s="30"/>
    </row>
    <row r="51" spans="2:19" ht="16.5" customHeight="1" x14ac:dyDescent="0.25">
      <c r="B51" s="16"/>
      <c r="C51" s="32"/>
      <c r="D51" s="30"/>
      <c r="E51" s="30"/>
      <c r="F51" s="30"/>
      <c r="G51" s="30"/>
      <c r="H51" s="86"/>
      <c r="I51" s="30"/>
      <c r="J51" s="57"/>
      <c r="K51" s="30"/>
      <c r="L51" s="30"/>
      <c r="M51" s="30"/>
      <c r="N51" s="41"/>
      <c r="O51" s="41"/>
      <c r="P51" s="30"/>
      <c r="Q51" s="30"/>
      <c r="R51" s="30"/>
      <c r="S51" s="30"/>
    </row>
    <row r="52" spans="2:19" ht="16.5" customHeight="1" x14ac:dyDescent="0.25">
      <c r="B52" s="16"/>
      <c r="C52" s="32"/>
      <c r="D52" s="30"/>
      <c r="E52" s="30"/>
      <c r="F52" s="30"/>
      <c r="G52" s="30"/>
      <c r="H52" s="86"/>
      <c r="I52" s="30"/>
      <c r="J52" s="57"/>
      <c r="K52" s="30"/>
      <c r="L52" s="30"/>
      <c r="M52" s="30"/>
      <c r="N52" s="41"/>
      <c r="O52" s="41"/>
      <c r="P52" s="30"/>
      <c r="Q52" s="30"/>
      <c r="R52" s="30"/>
      <c r="S52" s="30"/>
    </row>
    <row r="53" spans="2:19" ht="16.5" customHeight="1" x14ac:dyDescent="0.25">
      <c r="B53" s="16"/>
      <c r="C53" s="32"/>
      <c r="D53" s="30"/>
      <c r="E53" s="30"/>
      <c r="F53" s="30"/>
      <c r="G53" s="30"/>
      <c r="H53" s="86"/>
      <c r="I53" s="30"/>
      <c r="J53" s="57"/>
      <c r="K53" s="30"/>
      <c r="L53" s="30"/>
      <c r="M53" s="30"/>
      <c r="N53" s="41"/>
      <c r="O53" s="41"/>
      <c r="P53" s="30"/>
      <c r="Q53" s="30"/>
      <c r="R53" s="30"/>
      <c r="S53" s="30"/>
    </row>
    <row r="54" spans="2:19" ht="16.5" customHeight="1" x14ac:dyDescent="0.25">
      <c r="B54" s="16"/>
      <c r="C54" s="32"/>
      <c r="D54" s="30"/>
      <c r="E54" s="30"/>
      <c r="F54" s="30"/>
      <c r="G54" s="30"/>
      <c r="H54" s="86"/>
      <c r="I54" s="30"/>
      <c r="J54" s="57"/>
      <c r="K54" s="30"/>
      <c r="L54" s="30"/>
      <c r="M54" s="30"/>
      <c r="N54" s="41"/>
      <c r="O54" s="41"/>
      <c r="P54" s="30"/>
      <c r="Q54" s="30"/>
      <c r="R54" s="30"/>
      <c r="S54" s="30"/>
    </row>
    <row r="55" spans="2:19" ht="16.5" customHeight="1" x14ac:dyDescent="0.25">
      <c r="B55" s="16"/>
      <c r="C55" s="32"/>
      <c r="D55" s="30"/>
      <c r="E55" s="30"/>
      <c r="F55" s="30"/>
      <c r="G55" s="30"/>
      <c r="H55" s="86"/>
      <c r="I55" s="30"/>
      <c r="J55" s="57"/>
      <c r="K55" s="30"/>
      <c r="L55" s="30"/>
      <c r="M55" s="30"/>
      <c r="N55" s="41"/>
      <c r="O55" s="41"/>
      <c r="P55" s="30"/>
      <c r="Q55" s="30"/>
      <c r="R55" s="30"/>
      <c r="S55" s="30"/>
    </row>
    <row r="56" spans="2:19" ht="16.5" customHeight="1" x14ac:dyDescent="0.25">
      <c r="B56" s="16"/>
      <c r="C56" s="84"/>
      <c r="D56" s="30"/>
      <c r="E56" s="30"/>
      <c r="F56" s="30"/>
      <c r="G56" s="30"/>
      <c r="H56" s="86"/>
      <c r="I56" s="30"/>
      <c r="J56" s="57"/>
      <c r="K56" s="30"/>
      <c r="L56" s="30"/>
      <c r="M56" s="30"/>
      <c r="N56" s="41"/>
      <c r="O56" s="41"/>
      <c r="P56" s="30"/>
      <c r="Q56" s="30"/>
      <c r="R56" s="30"/>
      <c r="S56" s="30"/>
    </row>
    <row r="57" spans="2:19" ht="16.5" customHeight="1" x14ac:dyDescent="0.25">
      <c r="B57" s="16"/>
      <c r="C57" s="84"/>
      <c r="D57" s="30"/>
      <c r="E57" s="30"/>
      <c r="F57" s="30"/>
      <c r="G57" s="30"/>
      <c r="H57" s="86"/>
      <c r="I57" s="30"/>
      <c r="J57" s="57"/>
      <c r="K57" s="30"/>
      <c r="L57" s="30"/>
      <c r="M57" s="30"/>
      <c r="N57" s="30"/>
      <c r="O57" s="30"/>
      <c r="P57" s="30"/>
      <c r="Q57" s="30"/>
      <c r="R57" s="30"/>
      <c r="S57" s="30"/>
    </row>
    <row r="58" spans="2:19" ht="16.5" customHeight="1" x14ac:dyDescent="0.25">
      <c r="B58" s="30"/>
      <c r="C58" s="84"/>
      <c r="D58" s="30"/>
      <c r="E58" s="30"/>
      <c r="F58" s="30"/>
      <c r="G58" s="30"/>
      <c r="H58" s="86"/>
      <c r="I58" s="30"/>
      <c r="J58" s="57"/>
      <c r="K58" s="30"/>
      <c r="L58" s="30"/>
      <c r="M58" s="30"/>
      <c r="N58" s="30"/>
      <c r="O58" s="30"/>
      <c r="P58" s="30"/>
      <c r="Q58" s="30"/>
      <c r="R58" s="30"/>
      <c r="S58" s="30"/>
    </row>
    <row r="59" spans="2:19" ht="16.5" customHeight="1" x14ac:dyDescent="0.25">
      <c r="B59" s="30"/>
      <c r="C59" s="84"/>
      <c r="D59" s="30"/>
      <c r="E59" s="30"/>
      <c r="F59" s="30"/>
      <c r="G59" s="30"/>
      <c r="H59" s="86"/>
      <c r="I59" s="30"/>
      <c r="J59" s="57"/>
      <c r="K59" s="30"/>
      <c r="L59" s="30"/>
      <c r="M59" s="30"/>
      <c r="N59" s="30"/>
      <c r="O59" s="30"/>
      <c r="P59" s="30"/>
      <c r="Q59" s="30"/>
      <c r="R59" s="30"/>
      <c r="S59" s="30"/>
    </row>
    <row r="60" spans="2:19" ht="16.5" customHeight="1" x14ac:dyDescent="0.25">
      <c r="B60" s="30"/>
      <c r="C60" s="84"/>
      <c r="D60" s="30"/>
      <c r="E60" s="30"/>
      <c r="F60" s="30"/>
      <c r="G60" s="30"/>
      <c r="H60" s="86"/>
      <c r="I60" s="30"/>
      <c r="J60" s="57"/>
      <c r="K60" s="30"/>
      <c r="L60" s="30"/>
      <c r="M60" s="30"/>
      <c r="N60" s="30"/>
      <c r="O60" s="30"/>
      <c r="P60" s="30"/>
      <c r="Q60" s="30"/>
      <c r="R60" s="30"/>
      <c r="S60" s="30"/>
    </row>
    <row r="61" spans="2:19" ht="16.5" customHeight="1" x14ac:dyDescent="0.25">
      <c r="B61" s="30"/>
      <c r="C61" s="84"/>
      <c r="D61" s="84"/>
      <c r="E61" s="30"/>
      <c r="F61" s="30"/>
      <c r="G61" s="30"/>
      <c r="H61" s="86">
        <f t="shared" ref="H61:H63" si="0">I61+J61+K61+L61</f>
        <v>0</v>
      </c>
      <c r="I61" s="30"/>
      <c r="J61" s="57"/>
      <c r="K61" s="30"/>
      <c r="L61" s="30"/>
      <c r="M61" s="30"/>
      <c r="N61" s="30"/>
      <c r="O61" s="30"/>
      <c r="P61" s="30"/>
      <c r="Q61" s="30"/>
      <c r="R61" s="30"/>
      <c r="S61" s="30"/>
    </row>
    <row r="62" spans="2:19" ht="16.5" customHeight="1" x14ac:dyDescent="0.25">
      <c r="B62" s="30"/>
      <c r="C62" s="84"/>
      <c r="D62" s="84"/>
      <c r="E62" s="30"/>
      <c r="F62" s="30"/>
      <c r="G62" s="30"/>
      <c r="H62" s="86">
        <f t="shared" si="0"/>
        <v>0</v>
      </c>
      <c r="I62" s="30"/>
      <c r="J62" s="57"/>
      <c r="K62" s="30"/>
      <c r="L62" s="30"/>
      <c r="M62" s="30"/>
      <c r="N62" s="30"/>
      <c r="O62" s="30"/>
      <c r="P62" s="30"/>
      <c r="Q62" s="30"/>
      <c r="R62" s="30"/>
      <c r="S62" s="30"/>
    </row>
    <row r="63" spans="2:19" ht="16.5" customHeight="1" x14ac:dyDescent="0.25">
      <c r="B63" s="30"/>
      <c r="C63" s="84"/>
      <c r="D63" s="84"/>
      <c r="E63" s="30"/>
      <c r="F63" s="30"/>
      <c r="G63" s="30"/>
      <c r="H63" s="86">
        <f t="shared" si="0"/>
        <v>0</v>
      </c>
      <c r="I63" s="30"/>
      <c r="J63" s="57"/>
      <c r="K63" s="30"/>
      <c r="L63" s="30"/>
      <c r="M63" s="30"/>
      <c r="N63" s="30"/>
      <c r="O63" s="30"/>
      <c r="P63" s="30"/>
      <c r="Q63" s="30"/>
      <c r="R63" s="30"/>
      <c r="S63" s="30"/>
    </row>
    <row r="64" spans="2:19" ht="16.5" customHeight="1" x14ac:dyDescent="0.25">
      <c r="B64" s="30"/>
      <c r="C64" s="84"/>
      <c r="D64" s="84"/>
      <c r="E64" s="30"/>
      <c r="F64" s="30"/>
      <c r="G64" s="30"/>
      <c r="H64" s="30"/>
      <c r="I64" s="30"/>
      <c r="J64" s="57"/>
      <c r="K64" s="30"/>
      <c r="L64" s="30"/>
      <c r="M64" s="30"/>
      <c r="N64" s="30"/>
      <c r="O64" s="30"/>
      <c r="P64" s="30"/>
      <c r="Q64" s="30"/>
      <c r="R64" s="30"/>
      <c r="S64" s="30"/>
    </row>
    <row r="65" spans="2:19" ht="16.5" customHeight="1" x14ac:dyDescent="0.25">
      <c r="B65" s="30"/>
      <c r="C65" s="84"/>
      <c r="D65" s="84"/>
      <c r="E65" s="30"/>
      <c r="F65" s="30"/>
      <c r="G65" s="30"/>
      <c r="H65" s="57">
        <f>SUM(H4:H64)</f>
        <v>3335</v>
      </c>
      <c r="I65" s="57">
        <f t="shared" ref="I65:L65" si="1">SUM(I4:I64)</f>
        <v>0</v>
      </c>
      <c r="J65" s="57">
        <f t="shared" si="1"/>
        <v>0</v>
      </c>
      <c r="K65" s="57">
        <f t="shared" si="1"/>
        <v>470</v>
      </c>
      <c r="L65" s="57">
        <f t="shared" si="1"/>
        <v>2765</v>
      </c>
      <c r="M65" s="30"/>
      <c r="N65" s="30"/>
      <c r="O65" s="30"/>
      <c r="P65" s="30"/>
      <c r="Q65" s="30"/>
      <c r="R65" s="30"/>
      <c r="S65" s="30"/>
    </row>
    <row r="66" spans="2:19" ht="16.5" customHeight="1" x14ac:dyDescent="0.25">
      <c r="B66" s="30"/>
      <c r="C66" s="84"/>
      <c r="D66" s="84"/>
      <c r="E66" s="30"/>
      <c r="F66" s="30"/>
      <c r="G66" s="30"/>
      <c r="H66" s="30"/>
      <c r="I66" s="30"/>
      <c r="J66" s="57"/>
      <c r="K66" s="30"/>
      <c r="L66" s="30"/>
      <c r="M66" s="30"/>
      <c r="N66" s="30"/>
      <c r="O66" s="30"/>
      <c r="P66" s="30"/>
      <c r="Q66" s="30"/>
      <c r="R66" s="30"/>
      <c r="S66" s="30"/>
    </row>
    <row r="67" spans="2:19" ht="16.5" customHeight="1" x14ac:dyDescent="0.25">
      <c r="B67" s="30"/>
      <c r="C67" s="84"/>
      <c r="D67" s="84"/>
      <c r="E67" s="30"/>
      <c r="F67" s="30"/>
      <c r="G67" s="30"/>
      <c r="H67" s="30"/>
      <c r="I67" s="30"/>
      <c r="J67" s="57"/>
      <c r="K67" s="30"/>
      <c r="L67" s="30"/>
      <c r="M67" s="30"/>
      <c r="N67" s="30"/>
      <c r="O67" s="30"/>
      <c r="P67" s="30"/>
      <c r="Q67" s="30"/>
      <c r="R67" s="30"/>
      <c r="S67" s="30"/>
    </row>
    <row r="68" spans="2:19" ht="16.5" customHeight="1" x14ac:dyDescent="0.25">
      <c r="B68" s="30"/>
      <c r="C68" s="84"/>
      <c r="D68" s="84"/>
      <c r="E68" s="30"/>
      <c r="F68" s="30"/>
      <c r="G68" s="30"/>
      <c r="H68" s="30"/>
      <c r="I68" s="30"/>
      <c r="J68" s="57"/>
      <c r="K68" s="30"/>
      <c r="L68" s="30"/>
      <c r="M68" s="30"/>
      <c r="N68" s="30"/>
      <c r="O68" s="30"/>
      <c r="P68" s="30"/>
      <c r="Q68" s="30"/>
      <c r="R68" s="30"/>
      <c r="S68" s="30"/>
    </row>
    <row r="69" spans="2:19" ht="16.5" customHeight="1" x14ac:dyDescent="0.25"/>
    <row r="70" spans="2:19" ht="16.5" customHeight="1" x14ac:dyDescent="0.25"/>
    <row r="71" spans="2:19" ht="16.5" customHeight="1" x14ac:dyDescent="0.25"/>
    <row r="72" spans="2:19" ht="16.5" customHeight="1" x14ac:dyDescent="0.25"/>
  </sheetData>
  <autoFilter ref="B2:DA55" xr:uid="{00000000-0009-0000-0000-000000000000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3"/>
  <sheetViews>
    <sheetView workbookViewId="0">
      <pane ySplit="1" topLeftCell="A20" activePane="bottomLeft" state="frozen"/>
      <selection pane="bottomLeft" activeCell="C40" sqref="C40"/>
    </sheetView>
  </sheetViews>
  <sheetFormatPr defaultRowHeight="12.5" x14ac:dyDescent="0.25"/>
  <cols>
    <col min="1" max="1" width="6.1796875" bestFit="1" customWidth="1"/>
    <col min="2" max="2" width="8.81640625" bestFit="1" customWidth="1"/>
    <col min="3" max="3" width="36" bestFit="1" customWidth="1"/>
    <col min="4" max="4" width="10.453125" bestFit="1" customWidth="1"/>
    <col min="5" max="5" width="9.54296875" bestFit="1" customWidth="1"/>
    <col min="6" max="6" width="8.26953125" bestFit="1" customWidth="1"/>
    <col min="7" max="7" width="7.7265625" customWidth="1"/>
    <col min="12" max="12" width="19.7265625" bestFit="1" customWidth="1"/>
    <col min="13" max="13" width="15.54296875" bestFit="1" customWidth="1"/>
    <col min="14" max="14" width="41.453125" bestFit="1" customWidth="1"/>
  </cols>
  <sheetData>
    <row r="1" spans="1:14" ht="26" x14ac:dyDescent="0.25">
      <c r="A1" s="24" t="s">
        <v>0</v>
      </c>
      <c r="B1" s="25" t="s">
        <v>23</v>
      </c>
      <c r="C1" s="25" t="s">
        <v>27</v>
      </c>
      <c r="D1" s="25" t="s">
        <v>28</v>
      </c>
      <c r="E1" s="25" t="s">
        <v>24</v>
      </c>
      <c r="F1" s="25" t="s">
        <v>25</v>
      </c>
      <c r="G1" s="54">
        <v>43070</v>
      </c>
      <c r="H1" s="54">
        <v>43101</v>
      </c>
      <c r="I1" s="54">
        <v>43132</v>
      </c>
      <c r="J1" s="54">
        <v>43160</v>
      </c>
      <c r="K1" s="25" t="s">
        <v>329</v>
      </c>
      <c r="L1" s="25" t="s">
        <v>29</v>
      </c>
      <c r="M1" s="25" t="s">
        <v>11</v>
      </c>
      <c r="N1" s="25" t="s">
        <v>31</v>
      </c>
    </row>
    <row r="2" spans="1:14" ht="13" x14ac:dyDescent="0.25">
      <c r="A2" s="16">
        <v>1</v>
      </c>
      <c r="B2" s="20" t="s">
        <v>84</v>
      </c>
      <c r="C2" s="21" t="s">
        <v>313</v>
      </c>
      <c r="D2" s="16" t="s">
        <v>68</v>
      </c>
      <c r="E2" s="16" t="s">
        <v>69</v>
      </c>
      <c r="F2" s="16">
        <v>230</v>
      </c>
      <c r="G2" s="18"/>
      <c r="H2" s="16"/>
      <c r="I2" s="16"/>
      <c r="J2" s="55">
        <v>50</v>
      </c>
      <c r="K2" s="16">
        <v>180</v>
      </c>
      <c r="L2" s="16"/>
      <c r="M2" s="16" t="s">
        <v>72</v>
      </c>
      <c r="N2" s="62" t="s">
        <v>330</v>
      </c>
    </row>
    <row r="3" spans="1:14" ht="13" x14ac:dyDescent="0.25">
      <c r="A3" s="16">
        <v>2</v>
      </c>
      <c r="B3" s="20" t="s">
        <v>55</v>
      </c>
      <c r="C3" s="20" t="s">
        <v>95</v>
      </c>
      <c r="D3" s="16" t="s">
        <v>119</v>
      </c>
      <c r="E3" s="16" t="s">
        <v>69</v>
      </c>
      <c r="F3" s="16">
        <v>30</v>
      </c>
      <c r="G3" s="16"/>
      <c r="H3" s="16">
        <v>30</v>
      </c>
      <c r="I3" s="16"/>
      <c r="J3" s="55"/>
      <c r="K3" s="16"/>
      <c r="L3" s="16" t="s">
        <v>96</v>
      </c>
      <c r="M3" s="16" t="s">
        <v>72</v>
      </c>
      <c r="N3" s="62" t="s">
        <v>331</v>
      </c>
    </row>
    <row r="4" spans="1:14" ht="13" x14ac:dyDescent="0.25">
      <c r="A4" s="16">
        <v>3</v>
      </c>
      <c r="B4" s="20" t="s">
        <v>55</v>
      </c>
      <c r="C4" s="20" t="s">
        <v>97</v>
      </c>
      <c r="D4" s="16" t="s">
        <v>119</v>
      </c>
      <c r="E4" s="16" t="s">
        <v>69</v>
      </c>
      <c r="F4" s="16">
        <v>5</v>
      </c>
      <c r="G4" s="16">
        <v>5</v>
      </c>
      <c r="H4" s="16"/>
      <c r="I4" s="16"/>
      <c r="J4" s="55"/>
      <c r="K4" s="16"/>
      <c r="L4" s="16" t="s">
        <v>62</v>
      </c>
      <c r="M4" s="16" t="s">
        <v>56</v>
      </c>
      <c r="N4" s="62" t="s">
        <v>338</v>
      </c>
    </row>
    <row r="5" spans="1:14" ht="13" x14ac:dyDescent="0.25">
      <c r="A5" s="16">
        <v>4</v>
      </c>
      <c r="B5" s="17" t="s">
        <v>55</v>
      </c>
      <c r="C5" s="42" t="s">
        <v>54</v>
      </c>
      <c r="D5" s="16" t="s">
        <v>71</v>
      </c>
      <c r="E5" s="16" t="s">
        <v>69</v>
      </c>
      <c r="F5" s="42">
        <v>40</v>
      </c>
      <c r="G5" s="16">
        <v>40</v>
      </c>
      <c r="H5" s="16"/>
      <c r="I5" s="16"/>
      <c r="J5" s="55"/>
      <c r="K5" s="16"/>
      <c r="L5" s="16" t="s">
        <v>63</v>
      </c>
      <c r="M5" s="16" t="s">
        <v>67</v>
      </c>
      <c r="N5" s="62" t="s">
        <v>333</v>
      </c>
    </row>
    <row r="6" spans="1:14" ht="13" x14ac:dyDescent="0.25">
      <c r="A6" s="16">
        <v>5</v>
      </c>
      <c r="B6" s="20" t="s">
        <v>55</v>
      </c>
      <c r="C6" s="20" t="s">
        <v>93</v>
      </c>
      <c r="D6" s="16" t="s">
        <v>119</v>
      </c>
      <c r="E6" s="16" t="s">
        <v>69</v>
      </c>
      <c r="F6" s="16">
        <v>40</v>
      </c>
      <c r="G6" s="16"/>
      <c r="H6" s="16">
        <v>40</v>
      </c>
      <c r="I6" s="16"/>
      <c r="J6" s="55"/>
      <c r="K6" s="16"/>
      <c r="L6" s="16" t="s">
        <v>61</v>
      </c>
      <c r="M6" s="16" t="s">
        <v>99</v>
      </c>
      <c r="N6" s="62" t="s">
        <v>334</v>
      </c>
    </row>
    <row r="7" spans="1:14" ht="13" x14ac:dyDescent="0.25">
      <c r="A7" s="16">
        <v>6</v>
      </c>
      <c r="B7" s="17" t="s">
        <v>55</v>
      </c>
      <c r="C7" s="42" t="s">
        <v>53</v>
      </c>
      <c r="D7" s="26" t="s">
        <v>68</v>
      </c>
      <c r="E7" s="16" t="s">
        <v>69</v>
      </c>
      <c r="F7" s="42">
        <v>15</v>
      </c>
      <c r="G7" s="16"/>
      <c r="H7" s="16">
        <v>15</v>
      </c>
      <c r="I7" s="16"/>
      <c r="J7" s="55"/>
      <c r="K7" s="16"/>
      <c r="L7" s="16" t="s">
        <v>106</v>
      </c>
      <c r="M7" s="16" t="s">
        <v>67</v>
      </c>
      <c r="N7" s="62" t="s">
        <v>335</v>
      </c>
    </row>
    <row r="8" spans="1:14" ht="13" x14ac:dyDescent="0.25">
      <c r="A8" s="16">
        <v>7</v>
      </c>
      <c r="B8" s="20" t="s">
        <v>55</v>
      </c>
      <c r="C8" s="20" t="s">
        <v>132</v>
      </c>
      <c r="D8" s="16" t="s">
        <v>71</v>
      </c>
      <c r="E8" s="16" t="s">
        <v>69</v>
      </c>
      <c r="F8" s="16">
        <v>55</v>
      </c>
      <c r="G8" s="16">
        <v>55</v>
      </c>
      <c r="H8" s="16"/>
      <c r="I8" s="16"/>
      <c r="J8" s="55"/>
      <c r="K8" s="16"/>
      <c r="L8" s="16" t="s">
        <v>63</v>
      </c>
      <c r="M8" s="16" t="s">
        <v>64</v>
      </c>
      <c r="N8" s="62" t="s">
        <v>336</v>
      </c>
    </row>
    <row r="9" spans="1:14" ht="13" x14ac:dyDescent="0.25">
      <c r="A9" s="16">
        <v>8</v>
      </c>
      <c r="B9" s="20" t="s">
        <v>84</v>
      </c>
      <c r="C9" s="21" t="s">
        <v>85</v>
      </c>
      <c r="D9" s="16" t="s">
        <v>119</v>
      </c>
      <c r="E9" s="15" t="s">
        <v>79</v>
      </c>
      <c r="F9" s="16">
        <v>100</v>
      </c>
      <c r="G9" s="18"/>
      <c r="H9" s="16"/>
      <c r="I9" s="16"/>
      <c r="J9" s="55">
        <v>100</v>
      </c>
      <c r="K9" s="16"/>
      <c r="L9" s="16" t="s">
        <v>91</v>
      </c>
      <c r="M9" s="16" t="s">
        <v>104</v>
      </c>
      <c r="N9" s="62" t="s">
        <v>337</v>
      </c>
    </row>
    <row r="10" spans="1:14" ht="13" x14ac:dyDescent="0.25">
      <c r="A10" s="16">
        <v>9</v>
      </c>
      <c r="B10" s="20" t="s">
        <v>55</v>
      </c>
      <c r="C10" s="30" t="s">
        <v>109</v>
      </c>
      <c r="D10" s="16" t="s">
        <v>71</v>
      </c>
      <c r="E10" s="16" t="s">
        <v>69</v>
      </c>
      <c r="F10" s="30">
        <v>8</v>
      </c>
      <c r="G10" s="16">
        <v>8</v>
      </c>
      <c r="H10" s="16"/>
      <c r="I10" s="16"/>
      <c r="J10" s="55"/>
      <c r="K10" s="16"/>
      <c r="L10" s="30" t="s">
        <v>110</v>
      </c>
      <c r="M10" s="30" t="s">
        <v>108</v>
      </c>
      <c r="N10" s="62" t="s">
        <v>343</v>
      </c>
    </row>
    <row r="11" spans="1:14" ht="13" x14ac:dyDescent="0.25">
      <c r="A11" s="16">
        <v>10</v>
      </c>
      <c r="B11" s="20" t="s">
        <v>83</v>
      </c>
      <c r="C11" s="30" t="s">
        <v>111</v>
      </c>
      <c r="D11" s="30" t="s">
        <v>68</v>
      </c>
      <c r="E11" s="16" t="s">
        <v>69</v>
      </c>
      <c r="F11" s="30">
        <v>30</v>
      </c>
      <c r="G11" s="30"/>
      <c r="H11" s="30">
        <v>30</v>
      </c>
      <c r="I11" s="30"/>
      <c r="J11" s="57"/>
      <c r="K11" s="30"/>
      <c r="L11" s="16" t="s">
        <v>112</v>
      </c>
      <c r="M11" s="16" t="s">
        <v>102</v>
      </c>
      <c r="N11" s="62" t="s">
        <v>333</v>
      </c>
    </row>
    <row r="12" spans="1:14" ht="13" x14ac:dyDescent="0.25">
      <c r="A12" s="16">
        <v>11</v>
      </c>
      <c r="B12" s="20" t="s">
        <v>319</v>
      </c>
      <c r="C12" s="45" t="s">
        <v>73</v>
      </c>
      <c r="D12" s="15" t="s">
        <v>71</v>
      </c>
      <c r="E12" s="15" t="s">
        <v>69</v>
      </c>
      <c r="F12" s="45">
        <v>60</v>
      </c>
      <c r="G12" s="15"/>
      <c r="H12" s="15">
        <v>10</v>
      </c>
      <c r="I12" s="15">
        <v>20</v>
      </c>
      <c r="J12" s="27">
        <v>20</v>
      </c>
      <c r="K12" s="15">
        <v>10</v>
      </c>
      <c r="L12" s="15" t="s">
        <v>62</v>
      </c>
      <c r="M12" s="15" t="s">
        <v>76</v>
      </c>
      <c r="N12" s="62" t="s">
        <v>339</v>
      </c>
    </row>
    <row r="13" spans="1:14" ht="13" x14ac:dyDescent="0.25">
      <c r="A13" s="16">
        <v>12</v>
      </c>
      <c r="B13" s="20" t="s">
        <v>319</v>
      </c>
      <c r="C13" s="43" t="s">
        <v>74</v>
      </c>
      <c r="D13" s="17" t="s">
        <v>71</v>
      </c>
      <c r="E13" s="15" t="s">
        <v>69</v>
      </c>
      <c r="F13" s="43">
        <v>20</v>
      </c>
      <c r="G13" s="15"/>
      <c r="H13" s="15">
        <v>10</v>
      </c>
      <c r="I13" s="15">
        <v>10</v>
      </c>
      <c r="J13" s="27"/>
      <c r="K13" s="15"/>
      <c r="L13" s="15"/>
      <c r="M13" s="15" t="s">
        <v>78</v>
      </c>
      <c r="N13" s="62" t="s">
        <v>330</v>
      </c>
    </row>
    <row r="14" spans="1:14" ht="13" x14ac:dyDescent="0.25">
      <c r="A14" s="16">
        <v>13</v>
      </c>
      <c r="B14" s="20" t="s">
        <v>55</v>
      </c>
      <c r="C14" s="43" t="s">
        <v>115</v>
      </c>
      <c r="D14" s="17" t="s">
        <v>71</v>
      </c>
      <c r="E14" s="15" t="s">
        <v>69</v>
      </c>
      <c r="F14" s="43">
        <v>8</v>
      </c>
      <c r="G14" s="16">
        <v>8</v>
      </c>
      <c r="H14" s="16"/>
      <c r="I14" s="16"/>
      <c r="J14" s="55"/>
      <c r="K14" s="16"/>
      <c r="L14" s="15" t="s">
        <v>57</v>
      </c>
      <c r="M14" s="15" t="s">
        <v>120</v>
      </c>
      <c r="N14" s="62" t="s">
        <v>340</v>
      </c>
    </row>
    <row r="15" spans="1:14" ht="13" x14ac:dyDescent="0.25">
      <c r="A15" s="16">
        <v>14</v>
      </c>
      <c r="B15" s="20" t="s">
        <v>55</v>
      </c>
      <c r="C15" s="47" t="s">
        <v>116</v>
      </c>
      <c r="D15" s="17" t="s">
        <v>71</v>
      </c>
      <c r="E15" s="15" t="s">
        <v>69</v>
      </c>
      <c r="F15" s="43">
        <v>10</v>
      </c>
      <c r="G15" s="15">
        <v>10</v>
      </c>
      <c r="H15" s="15"/>
      <c r="I15" s="15"/>
      <c r="J15" s="27"/>
      <c r="K15" s="15"/>
      <c r="L15" s="15"/>
      <c r="M15" s="15" t="s">
        <v>122</v>
      </c>
      <c r="N15" s="62" t="s">
        <v>330</v>
      </c>
    </row>
    <row r="16" spans="1:14" ht="13" x14ac:dyDescent="0.25">
      <c r="A16" s="16">
        <v>15</v>
      </c>
      <c r="B16" s="20" t="s">
        <v>55</v>
      </c>
      <c r="C16" s="43" t="s">
        <v>117</v>
      </c>
      <c r="D16" s="17" t="s">
        <v>71</v>
      </c>
      <c r="E16" s="15" t="s">
        <v>69</v>
      </c>
      <c r="F16" s="45">
        <v>7</v>
      </c>
      <c r="G16" s="15"/>
      <c r="H16" s="15">
        <v>7</v>
      </c>
      <c r="I16" s="15"/>
      <c r="J16" s="27"/>
      <c r="K16" s="15"/>
      <c r="L16" s="15" t="s">
        <v>60</v>
      </c>
      <c r="M16" s="15" t="s">
        <v>121</v>
      </c>
      <c r="N16" s="62" t="s">
        <v>341</v>
      </c>
    </row>
    <row r="17" spans="1:14" ht="13" x14ac:dyDescent="0.25">
      <c r="A17" s="16">
        <v>16</v>
      </c>
      <c r="B17" s="20" t="s">
        <v>55</v>
      </c>
      <c r="C17" s="46" t="s">
        <v>118</v>
      </c>
      <c r="D17" s="15" t="s">
        <v>119</v>
      </c>
      <c r="E17" s="15" t="s">
        <v>69</v>
      </c>
      <c r="F17" s="45">
        <v>10</v>
      </c>
      <c r="G17" s="15">
        <v>10</v>
      </c>
      <c r="H17" s="15"/>
      <c r="I17" s="15"/>
      <c r="J17" s="27"/>
      <c r="K17" s="15"/>
      <c r="L17" s="15" t="s">
        <v>63</v>
      </c>
      <c r="M17" s="15" t="s">
        <v>122</v>
      </c>
      <c r="N17" s="62" t="s">
        <v>342</v>
      </c>
    </row>
    <row r="18" spans="1:14" ht="13" x14ac:dyDescent="0.25">
      <c r="A18" s="16">
        <v>17</v>
      </c>
      <c r="B18" s="20" t="s">
        <v>83</v>
      </c>
      <c r="C18" s="30" t="s">
        <v>123</v>
      </c>
      <c r="D18" s="16" t="s">
        <v>119</v>
      </c>
      <c r="E18" s="16" t="s">
        <v>69</v>
      </c>
      <c r="F18" s="30">
        <v>15</v>
      </c>
      <c r="G18" s="30">
        <v>15</v>
      </c>
      <c r="H18" s="30"/>
      <c r="I18" s="30"/>
      <c r="J18" s="57"/>
      <c r="K18" s="30"/>
      <c r="L18" s="15" t="s">
        <v>82</v>
      </c>
      <c r="M18" s="16" t="s">
        <v>102</v>
      </c>
      <c r="N18" s="62" t="s">
        <v>343</v>
      </c>
    </row>
    <row r="19" spans="1:14" ht="13" x14ac:dyDescent="0.25">
      <c r="A19" s="16">
        <v>18</v>
      </c>
      <c r="B19" s="20" t="s">
        <v>83</v>
      </c>
      <c r="C19" s="30" t="s">
        <v>275</v>
      </c>
      <c r="D19" s="30" t="s">
        <v>119</v>
      </c>
      <c r="E19" s="16" t="s">
        <v>69</v>
      </c>
      <c r="F19" s="30">
        <v>20</v>
      </c>
      <c r="G19" s="30"/>
      <c r="H19" s="30"/>
      <c r="I19" s="30">
        <v>20</v>
      </c>
      <c r="J19" s="57"/>
      <c r="K19" s="30"/>
      <c r="L19" s="15" t="s">
        <v>131</v>
      </c>
      <c r="M19" s="16" t="s">
        <v>102</v>
      </c>
      <c r="N19" s="62" t="s">
        <v>344</v>
      </c>
    </row>
    <row r="20" spans="1:14" ht="13" x14ac:dyDescent="0.25">
      <c r="A20" s="16">
        <v>19</v>
      </c>
      <c r="B20" s="20" t="s">
        <v>319</v>
      </c>
      <c r="C20" s="30" t="s">
        <v>125</v>
      </c>
      <c r="D20" s="30" t="s">
        <v>68</v>
      </c>
      <c r="E20" s="30" t="s">
        <v>126</v>
      </c>
      <c r="F20" s="30">
        <v>7</v>
      </c>
      <c r="G20" s="30">
        <v>7</v>
      </c>
      <c r="H20" s="30"/>
      <c r="I20" s="30"/>
      <c r="J20" s="57"/>
      <c r="K20" s="30"/>
      <c r="L20" s="30" t="s">
        <v>62</v>
      </c>
      <c r="M20" s="30" t="s">
        <v>77</v>
      </c>
      <c r="N20" s="62" t="s">
        <v>339</v>
      </c>
    </row>
    <row r="21" spans="1:14" ht="13" x14ac:dyDescent="0.25">
      <c r="A21" s="16">
        <v>20</v>
      </c>
      <c r="B21" s="20" t="s">
        <v>83</v>
      </c>
      <c r="C21" s="42" t="s">
        <v>81</v>
      </c>
      <c r="D21" s="26" t="s">
        <v>119</v>
      </c>
      <c r="E21" s="33" t="s">
        <v>79</v>
      </c>
      <c r="F21" s="16">
        <v>10</v>
      </c>
      <c r="G21" s="30">
        <v>10</v>
      </c>
      <c r="H21" s="30"/>
      <c r="I21" s="30"/>
      <c r="J21" s="57"/>
      <c r="K21" s="30"/>
      <c r="L21" s="15" t="s">
        <v>80</v>
      </c>
      <c r="M21" s="16" t="s">
        <v>129</v>
      </c>
      <c r="N21" s="62" t="s">
        <v>339</v>
      </c>
    </row>
    <row r="22" spans="1:14" ht="13" x14ac:dyDescent="0.25">
      <c r="A22" s="16">
        <v>21</v>
      </c>
      <c r="B22" s="17" t="s">
        <v>55</v>
      </c>
      <c r="C22" s="42" t="s">
        <v>307</v>
      </c>
      <c r="D22" s="26" t="s">
        <v>308</v>
      </c>
      <c r="E22" s="16" t="s">
        <v>69</v>
      </c>
      <c r="F22" s="42">
        <v>30</v>
      </c>
      <c r="G22" s="16">
        <v>30</v>
      </c>
      <c r="H22" s="16"/>
      <c r="I22" s="16"/>
      <c r="J22" s="55"/>
      <c r="K22" s="16"/>
      <c r="L22" s="16" t="s">
        <v>59</v>
      </c>
      <c r="M22" s="16" t="s">
        <v>66</v>
      </c>
      <c r="N22" s="62" t="s">
        <v>345</v>
      </c>
    </row>
    <row r="23" spans="1:14" ht="13" x14ac:dyDescent="0.25">
      <c r="A23" s="16">
        <v>22</v>
      </c>
      <c r="B23" s="20" t="s">
        <v>319</v>
      </c>
      <c r="C23" s="30" t="s">
        <v>309</v>
      </c>
      <c r="D23" s="30" t="s">
        <v>327</v>
      </c>
      <c r="E23" s="16" t="s">
        <v>69</v>
      </c>
      <c r="F23" s="30">
        <v>12</v>
      </c>
      <c r="G23" s="30">
        <v>6</v>
      </c>
      <c r="H23" s="30">
        <v>6</v>
      </c>
      <c r="I23" s="30"/>
      <c r="J23" s="57"/>
      <c r="K23" s="30"/>
      <c r="L23" s="30" t="s">
        <v>61</v>
      </c>
      <c r="M23" s="30" t="s">
        <v>78</v>
      </c>
      <c r="N23" s="62" t="s">
        <v>339</v>
      </c>
    </row>
    <row r="24" spans="1:14" ht="13" x14ac:dyDescent="0.25">
      <c r="A24" s="16">
        <v>23</v>
      </c>
      <c r="B24" s="20" t="s">
        <v>55</v>
      </c>
      <c r="C24" s="30" t="s">
        <v>134</v>
      </c>
      <c r="D24" s="30" t="s">
        <v>68</v>
      </c>
      <c r="E24" s="16" t="s">
        <v>69</v>
      </c>
      <c r="F24" s="30">
        <v>10</v>
      </c>
      <c r="G24" s="15"/>
      <c r="H24" s="15">
        <v>10</v>
      </c>
      <c r="I24" s="15"/>
      <c r="J24" s="27"/>
      <c r="K24" s="15"/>
      <c r="L24" s="15" t="s">
        <v>63</v>
      </c>
      <c r="M24" s="30" t="s">
        <v>64</v>
      </c>
      <c r="N24" s="62" t="s">
        <v>339</v>
      </c>
    </row>
    <row r="25" spans="1:14" ht="13" x14ac:dyDescent="0.25">
      <c r="A25" s="16">
        <v>24</v>
      </c>
      <c r="B25" s="20" t="s">
        <v>83</v>
      </c>
      <c r="C25" s="30" t="s">
        <v>135</v>
      </c>
      <c r="D25" s="26" t="s">
        <v>71</v>
      </c>
      <c r="E25" s="30" t="s">
        <v>69</v>
      </c>
      <c r="F25" s="30">
        <v>12</v>
      </c>
      <c r="G25" s="30"/>
      <c r="H25" s="30"/>
      <c r="I25" s="30">
        <v>12</v>
      </c>
      <c r="J25" s="57"/>
      <c r="K25" s="30"/>
      <c r="L25" s="16" t="s">
        <v>60</v>
      </c>
      <c r="M25" s="16" t="s">
        <v>102</v>
      </c>
      <c r="N25" s="62" t="s">
        <v>346</v>
      </c>
    </row>
    <row r="26" spans="1:14" ht="13" x14ac:dyDescent="0.25">
      <c r="A26" s="16">
        <v>25</v>
      </c>
      <c r="B26" s="20" t="s">
        <v>83</v>
      </c>
      <c r="C26" s="30" t="s">
        <v>136</v>
      </c>
      <c r="D26" s="30" t="s">
        <v>119</v>
      </c>
      <c r="E26" s="30" t="s">
        <v>69</v>
      </c>
      <c r="F26" s="30">
        <v>7</v>
      </c>
      <c r="G26" s="30"/>
      <c r="H26" s="30">
        <v>7</v>
      </c>
      <c r="I26" s="30"/>
      <c r="J26" s="57"/>
      <c r="K26" s="30"/>
      <c r="L26" s="16" t="s">
        <v>130</v>
      </c>
      <c r="M26" s="30" t="s">
        <v>137</v>
      </c>
      <c r="N26" s="62" t="s">
        <v>343</v>
      </c>
    </row>
    <row r="27" spans="1:14" ht="13" x14ac:dyDescent="0.25">
      <c r="A27" s="16">
        <v>26</v>
      </c>
      <c r="B27" s="20" t="s">
        <v>83</v>
      </c>
      <c r="C27" s="30" t="s">
        <v>138</v>
      </c>
      <c r="D27" s="26" t="s">
        <v>71</v>
      </c>
      <c r="E27" s="30" t="s">
        <v>69</v>
      </c>
      <c r="F27" s="30">
        <v>22</v>
      </c>
      <c r="G27" s="30">
        <v>22</v>
      </c>
      <c r="H27" s="30"/>
      <c r="I27" s="30"/>
      <c r="J27" s="57"/>
      <c r="K27" s="30"/>
      <c r="L27" s="30" t="s">
        <v>139</v>
      </c>
      <c r="M27" s="16" t="s">
        <v>102</v>
      </c>
      <c r="N27" s="62" t="s">
        <v>353</v>
      </c>
    </row>
    <row r="28" spans="1:14" ht="13" x14ac:dyDescent="0.25">
      <c r="A28" s="16">
        <v>27</v>
      </c>
      <c r="B28" s="20" t="s">
        <v>83</v>
      </c>
      <c r="C28" s="30" t="s">
        <v>141</v>
      </c>
      <c r="D28" s="30" t="s">
        <v>328</v>
      </c>
      <c r="E28" s="30" t="s">
        <v>69</v>
      </c>
      <c r="F28" s="30">
        <v>13</v>
      </c>
      <c r="G28" s="30">
        <v>13</v>
      </c>
      <c r="H28" s="30"/>
      <c r="I28" s="30"/>
      <c r="J28" s="57"/>
      <c r="K28" s="30"/>
      <c r="L28" s="30" t="s">
        <v>140</v>
      </c>
      <c r="M28" s="16" t="s">
        <v>102</v>
      </c>
      <c r="N28" s="62" t="s">
        <v>354</v>
      </c>
    </row>
    <row r="29" spans="1:14" ht="13" x14ac:dyDescent="0.25">
      <c r="A29" s="16">
        <v>28</v>
      </c>
      <c r="B29" s="20" t="s">
        <v>83</v>
      </c>
      <c r="C29" s="30" t="s">
        <v>312</v>
      </c>
      <c r="D29" s="26" t="s">
        <v>71</v>
      </c>
      <c r="E29" s="30" t="s">
        <v>69</v>
      </c>
      <c r="F29" s="30">
        <v>5</v>
      </c>
      <c r="G29" s="30">
        <v>5</v>
      </c>
      <c r="H29" s="30"/>
      <c r="I29" s="30"/>
      <c r="J29" s="57"/>
      <c r="K29" s="30"/>
      <c r="L29" s="16" t="s">
        <v>130</v>
      </c>
      <c r="M29" s="16" t="s">
        <v>102</v>
      </c>
      <c r="N29" s="62" t="s">
        <v>355</v>
      </c>
    </row>
    <row r="30" spans="1:14" ht="13" x14ac:dyDescent="0.25">
      <c r="A30" s="16">
        <v>29</v>
      </c>
      <c r="B30" s="20" t="s">
        <v>319</v>
      </c>
      <c r="C30" s="30" t="s">
        <v>311</v>
      </c>
      <c r="D30" s="30" t="s">
        <v>119</v>
      </c>
      <c r="E30" s="30" t="s">
        <v>69</v>
      </c>
      <c r="F30" s="30">
        <v>9</v>
      </c>
      <c r="G30" s="30">
        <v>9</v>
      </c>
      <c r="H30" s="30"/>
      <c r="I30" s="30"/>
      <c r="J30" s="57"/>
      <c r="K30" s="30"/>
      <c r="L30" s="16" t="s">
        <v>60</v>
      </c>
      <c r="M30" s="30" t="s">
        <v>78</v>
      </c>
      <c r="N30" s="62" t="s">
        <v>339</v>
      </c>
    </row>
    <row r="31" spans="1:14" ht="13" x14ac:dyDescent="0.25">
      <c r="A31" s="16">
        <v>30</v>
      </c>
      <c r="B31" s="44" t="s">
        <v>83</v>
      </c>
      <c r="C31" s="30" t="s">
        <v>349</v>
      </c>
      <c r="D31" s="26" t="s">
        <v>71</v>
      </c>
      <c r="E31" s="48" t="s">
        <v>69</v>
      </c>
      <c r="F31" s="30">
        <v>8</v>
      </c>
      <c r="G31" s="48"/>
      <c r="H31" s="48">
        <v>8</v>
      </c>
      <c r="I31" s="48"/>
      <c r="J31" s="59"/>
      <c r="K31" s="48"/>
      <c r="L31" s="16" t="s">
        <v>60</v>
      </c>
      <c r="M31" s="41" t="s">
        <v>102</v>
      </c>
      <c r="N31" s="62" t="s">
        <v>333</v>
      </c>
    </row>
    <row r="32" spans="1:14" ht="13" x14ac:dyDescent="0.25">
      <c r="A32" s="16">
        <v>31</v>
      </c>
      <c r="B32" s="20" t="s">
        <v>55</v>
      </c>
      <c r="C32" s="63" t="s">
        <v>271</v>
      </c>
      <c r="D32" s="26" t="s">
        <v>71</v>
      </c>
      <c r="E32" s="48" t="s">
        <v>69</v>
      </c>
      <c r="F32" s="30">
        <v>8</v>
      </c>
      <c r="G32" s="48">
        <v>8</v>
      </c>
      <c r="H32" s="48"/>
      <c r="I32" s="48"/>
      <c r="J32" s="59"/>
      <c r="K32" s="48"/>
      <c r="L32" s="16" t="s">
        <v>130</v>
      </c>
      <c r="M32" s="15" t="s">
        <v>122</v>
      </c>
      <c r="N32" s="62" t="s">
        <v>345</v>
      </c>
    </row>
    <row r="33" spans="1:14" ht="13" x14ac:dyDescent="0.25">
      <c r="A33" s="16">
        <v>32</v>
      </c>
      <c r="B33" s="20" t="s">
        <v>319</v>
      </c>
      <c r="C33" s="30" t="s">
        <v>310</v>
      </c>
      <c r="D33" s="30" t="s">
        <v>119</v>
      </c>
      <c r="E33" s="48" t="s">
        <v>69</v>
      </c>
      <c r="F33" s="30">
        <v>16</v>
      </c>
      <c r="G33" s="30">
        <v>16</v>
      </c>
      <c r="H33" s="30"/>
      <c r="I33" s="30"/>
      <c r="J33" s="57"/>
      <c r="K33" s="30"/>
      <c r="L33" s="16" t="s">
        <v>60</v>
      </c>
      <c r="M33" s="30" t="s">
        <v>127</v>
      </c>
      <c r="N33" s="62" t="s">
        <v>339</v>
      </c>
    </row>
    <row r="34" spans="1:14" ht="13" x14ac:dyDescent="0.25">
      <c r="A34" s="16">
        <v>33</v>
      </c>
      <c r="B34" s="20" t="s">
        <v>319</v>
      </c>
      <c r="C34" s="31" t="s">
        <v>274</v>
      </c>
      <c r="D34" s="31" t="s">
        <v>327</v>
      </c>
      <c r="E34" s="53" t="s">
        <v>69</v>
      </c>
      <c r="F34" s="31">
        <v>30</v>
      </c>
      <c r="G34" s="31">
        <v>10</v>
      </c>
      <c r="H34" s="31">
        <v>10</v>
      </c>
      <c r="I34" s="31">
        <v>10</v>
      </c>
      <c r="J34" s="58"/>
      <c r="K34" s="31"/>
      <c r="L34" s="31" t="s">
        <v>350</v>
      </c>
      <c r="M34" s="31" t="s">
        <v>77</v>
      </c>
      <c r="N34" s="62" t="s">
        <v>339</v>
      </c>
    </row>
    <row r="35" spans="1:14" ht="13" x14ac:dyDescent="0.25">
      <c r="A35" s="16">
        <v>34</v>
      </c>
      <c r="B35" s="20" t="s">
        <v>319</v>
      </c>
      <c r="C35" s="30" t="s">
        <v>356</v>
      </c>
      <c r="D35" s="31" t="s">
        <v>327</v>
      </c>
      <c r="E35" s="53" t="s">
        <v>69</v>
      </c>
      <c r="F35" s="31">
        <v>10</v>
      </c>
      <c r="G35" s="31"/>
      <c r="H35" s="31"/>
      <c r="I35" s="31">
        <v>10</v>
      </c>
      <c r="J35" s="58"/>
      <c r="K35" s="31"/>
      <c r="L35" s="16" t="s">
        <v>57</v>
      </c>
      <c r="M35" s="31" t="s">
        <v>359</v>
      </c>
      <c r="N35" s="62" t="s">
        <v>333</v>
      </c>
    </row>
    <row r="36" spans="1:14" ht="13" x14ac:dyDescent="0.25">
      <c r="A36" s="16">
        <v>35</v>
      </c>
      <c r="B36" s="20" t="s">
        <v>319</v>
      </c>
      <c r="C36" s="30" t="s">
        <v>357</v>
      </c>
      <c r="D36" s="31" t="s">
        <v>327</v>
      </c>
      <c r="E36" s="53" t="s">
        <v>69</v>
      </c>
      <c r="F36" s="31">
        <v>10</v>
      </c>
      <c r="G36" s="31"/>
      <c r="H36" s="31"/>
      <c r="I36" s="31">
        <v>10</v>
      </c>
      <c r="J36" s="58"/>
      <c r="K36" s="31"/>
      <c r="L36" s="16" t="s">
        <v>358</v>
      </c>
      <c r="M36" s="31" t="s">
        <v>127</v>
      </c>
      <c r="N36" s="62" t="s">
        <v>333</v>
      </c>
    </row>
    <row r="37" spans="1:14" ht="13" x14ac:dyDescent="0.25">
      <c r="A37" s="16">
        <v>36</v>
      </c>
      <c r="B37" s="20" t="s">
        <v>84</v>
      </c>
      <c r="C37" s="30" t="s">
        <v>314</v>
      </c>
      <c r="D37" s="30" t="s">
        <v>119</v>
      </c>
      <c r="E37" s="30" t="s">
        <v>69</v>
      </c>
      <c r="F37" s="30">
        <v>10</v>
      </c>
      <c r="G37" s="30">
        <v>10</v>
      </c>
      <c r="H37" s="30"/>
      <c r="I37" s="30"/>
      <c r="J37" s="57"/>
      <c r="K37" s="30"/>
      <c r="L37" s="30" t="s">
        <v>59</v>
      </c>
      <c r="M37" s="15" t="s">
        <v>122</v>
      </c>
      <c r="N37" s="62" t="s">
        <v>332</v>
      </c>
    </row>
    <row r="38" spans="1:14" ht="13" x14ac:dyDescent="0.25">
      <c r="A38" s="16">
        <v>37</v>
      </c>
      <c r="B38" s="30" t="s">
        <v>55</v>
      </c>
      <c r="C38" s="30" t="s">
        <v>315</v>
      </c>
      <c r="D38" s="30" t="s">
        <v>119</v>
      </c>
      <c r="E38" s="30" t="s">
        <v>69</v>
      </c>
      <c r="F38" s="30">
        <v>20</v>
      </c>
      <c r="G38" s="30"/>
      <c r="H38" s="30">
        <v>20</v>
      </c>
      <c r="I38" s="30"/>
      <c r="J38" s="57"/>
      <c r="K38" s="30"/>
      <c r="L38" s="30" t="s">
        <v>59</v>
      </c>
      <c r="M38" s="30" t="s">
        <v>317</v>
      </c>
      <c r="N38" s="62" t="s">
        <v>332</v>
      </c>
    </row>
    <row r="39" spans="1:14" ht="13" x14ac:dyDescent="0.25">
      <c r="A39" s="16">
        <v>38</v>
      </c>
      <c r="B39" s="20" t="s">
        <v>319</v>
      </c>
      <c r="C39" s="63" t="s">
        <v>310</v>
      </c>
      <c r="D39" s="30" t="s">
        <v>119</v>
      </c>
      <c r="E39" s="30" t="s">
        <v>107</v>
      </c>
      <c r="F39" s="30">
        <v>20</v>
      </c>
      <c r="G39" s="30">
        <v>10</v>
      </c>
      <c r="H39" s="30">
        <v>10</v>
      </c>
      <c r="I39" s="30"/>
      <c r="J39" s="57"/>
      <c r="K39" s="30"/>
      <c r="L39" s="16" t="s">
        <v>306</v>
      </c>
      <c r="M39" s="30" t="s">
        <v>127</v>
      </c>
      <c r="N39" s="62" t="s">
        <v>345</v>
      </c>
    </row>
    <row r="40" spans="1:14" ht="13" x14ac:dyDescent="0.25">
      <c r="A40" s="16">
        <v>39</v>
      </c>
      <c r="B40" s="20" t="s">
        <v>55</v>
      </c>
      <c r="C40" s="39" t="s">
        <v>273</v>
      </c>
      <c r="D40" s="30" t="s">
        <v>272</v>
      </c>
      <c r="E40" s="48" t="s">
        <v>69</v>
      </c>
      <c r="F40" s="30">
        <v>130</v>
      </c>
      <c r="G40" s="30"/>
      <c r="H40" s="30"/>
      <c r="I40" s="30"/>
      <c r="J40" s="57">
        <v>70</v>
      </c>
      <c r="K40" s="30"/>
      <c r="L40" s="16" t="s">
        <v>60</v>
      </c>
      <c r="M40" s="15" t="s">
        <v>122</v>
      </c>
      <c r="N40" s="62" t="s">
        <v>348</v>
      </c>
    </row>
    <row r="41" spans="1:14" ht="13" x14ac:dyDescent="0.25">
      <c r="A41" s="16">
        <v>40</v>
      </c>
      <c r="B41" s="20" t="s">
        <v>83</v>
      </c>
      <c r="C41" s="16" t="s">
        <v>94</v>
      </c>
      <c r="D41" s="16" t="s">
        <v>119</v>
      </c>
      <c r="E41" s="15" t="s">
        <v>79</v>
      </c>
      <c r="F41" s="16">
        <v>150</v>
      </c>
      <c r="G41" s="30"/>
      <c r="I41" s="30">
        <v>100</v>
      </c>
      <c r="J41" s="57"/>
      <c r="K41" s="30"/>
      <c r="L41" s="16" t="s">
        <v>60</v>
      </c>
      <c r="M41" s="16" t="s">
        <v>102</v>
      </c>
      <c r="N41" s="62" t="s">
        <v>347</v>
      </c>
    </row>
    <row r="42" spans="1:14" ht="13" x14ac:dyDescent="0.25">
      <c r="A42" s="16">
        <v>41</v>
      </c>
      <c r="B42" s="30" t="s">
        <v>55</v>
      </c>
      <c r="C42" s="30" t="s">
        <v>316</v>
      </c>
      <c r="D42" s="30" t="s">
        <v>119</v>
      </c>
      <c r="E42" s="30" t="s">
        <v>69</v>
      </c>
      <c r="F42" s="30">
        <v>50</v>
      </c>
      <c r="G42" s="30"/>
      <c r="H42" s="30"/>
      <c r="I42" s="30">
        <v>50</v>
      </c>
      <c r="J42" s="57"/>
      <c r="K42" s="30"/>
      <c r="L42" s="16" t="s">
        <v>351</v>
      </c>
      <c r="M42" s="30" t="s">
        <v>64</v>
      </c>
      <c r="N42" s="62" t="s">
        <v>334</v>
      </c>
    </row>
    <row r="43" spans="1:14" ht="14" x14ac:dyDescent="0.25">
      <c r="A43" s="60"/>
      <c r="B43" s="60"/>
      <c r="C43" s="60"/>
      <c r="D43" s="60"/>
      <c r="E43" s="60"/>
      <c r="F43" s="61">
        <f>SUM(F2:F42)</f>
        <v>1302</v>
      </c>
      <c r="G43" s="61">
        <f>SUM(G2:G42)</f>
        <v>307</v>
      </c>
      <c r="H43" s="61">
        <f>SUM(H2:H42)</f>
        <v>213</v>
      </c>
      <c r="I43" s="61">
        <f>SUM(I2:I42)</f>
        <v>242</v>
      </c>
      <c r="J43" s="61">
        <f>SUM(J2:J42)</f>
        <v>240</v>
      </c>
      <c r="K43" s="61">
        <f t="shared" ref="K43" si="0">SUM(K2:K42)</f>
        <v>190</v>
      </c>
      <c r="L43" s="60"/>
      <c r="M43" s="60"/>
      <c r="N43" s="60"/>
    </row>
  </sheetData>
  <autoFilter ref="A1:N43" xr:uid="{00000000-0009-0000-0000-000001000000}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79"/>
  <sheetViews>
    <sheetView workbookViewId="0">
      <pane ySplit="4" topLeftCell="A59" activePane="bottomLeft" state="frozen"/>
      <selection pane="bottomLeft" activeCell="A74" sqref="A74"/>
    </sheetView>
  </sheetViews>
  <sheetFormatPr defaultRowHeight="13" x14ac:dyDescent="0.3"/>
  <cols>
    <col min="1" max="1" width="9.1796875" style="64"/>
    <col min="2" max="2" width="9.54296875" style="68" customWidth="1"/>
    <col min="3" max="3" width="10.453125" style="64" customWidth="1"/>
    <col min="4" max="4" width="32.54296875" style="68" bestFit="1" customWidth="1"/>
    <col min="5" max="5" width="17.81640625" style="64" bestFit="1" customWidth="1"/>
    <col min="6" max="6" width="18.453125" style="64" customWidth="1"/>
    <col min="7" max="7" width="5.54296875" style="64" customWidth="1"/>
    <col min="8" max="8" width="10.7265625" style="64" customWidth="1"/>
    <col min="9" max="9" width="9.453125" style="64" customWidth="1"/>
    <col min="10" max="10" width="22.453125" style="64" customWidth="1"/>
    <col min="11" max="11" width="12.1796875" style="64" customWidth="1"/>
    <col min="12" max="257" width="9.1796875" style="64"/>
    <col min="258" max="258" width="9.54296875" style="64" customWidth="1"/>
    <col min="259" max="259" width="5.1796875" style="64" customWidth="1"/>
    <col min="260" max="260" width="32.54296875" style="64" bestFit="1" customWidth="1"/>
    <col min="261" max="261" width="17.81640625" style="64" bestFit="1" customWidth="1"/>
    <col min="262" max="262" width="15.1796875" style="64" customWidth="1"/>
    <col min="263" max="263" width="5.54296875" style="64" customWidth="1"/>
    <col min="264" max="264" width="10.7265625" style="64" customWidth="1"/>
    <col min="265" max="265" width="9.453125" style="64" customWidth="1"/>
    <col min="266" max="266" width="22.453125" style="64" customWidth="1"/>
    <col min="267" max="267" width="12.1796875" style="64" customWidth="1"/>
    <col min="268" max="513" width="9.1796875" style="64"/>
    <col min="514" max="514" width="9.54296875" style="64" customWidth="1"/>
    <col min="515" max="515" width="5.1796875" style="64" customWidth="1"/>
    <col min="516" max="516" width="32.54296875" style="64" bestFit="1" customWidth="1"/>
    <col min="517" max="517" width="17.81640625" style="64" bestFit="1" customWidth="1"/>
    <col min="518" max="518" width="15.1796875" style="64" customWidth="1"/>
    <col min="519" max="519" width="5.54296875" style="64" customWidth="1"/>
    <col min="520" max="520" width="10.7265625" style="64" customWidth="1"/>
    <col min="521" max="521" width="9.453125" style="64" customWidth="1"/>
    <col min="522" max="522" width="22.453125" style="64" customWidth="1"/>
    <col min="523" max="523" width="12.1796875" style="64" customWidth="1"/>
    <col min="524" max="769" width="9.1796875" style="64"/>
    <col min="770" max="770" width="9.54296875" style="64" customWidth="1"/>
    <col min="771" max="771" width="5.1796875" style="64" customWidth="1"/>
    <col min="772" max="772" width="32.54296875" style="64" bestFit="1" customWidth="1"/>
    <col min="773" max="773" width="17.81640625" style="64" bestFit="1" customWidth="1"/>
    <col min="774" max="774" width="15.1796875" style="64" customWidth="1"/>
    <col min="775" max="775" width="5.54296875" style="64" customWidth="1"/>
    <col min="776" max="776" width="10.7265625" style="64" customWidth="1"/>
    <col min="777" max="777" width="9.453125" style="64" customWidth="1"/>
    <col min="778" max="778" width="22.453125" style="64" customWidth="1"/>
    <col min="779" max="779" width="12.1796875" style="64" customWidth="1"/>
    <col min="780" max="1025" width="9.1796875" style="64"/>
    <col min="1026" max="1026" width="9.54296875" style="64" customWidth="1"/>
    <col min="1027" max="1027" width="5.1796875" style="64" customWidth="1"/>
    <col min="1028" max="1028" width="32.54296875" style="64" bestFit="1" customWidth="1"/>
    <col min="1029" max="1029" width="17.81640625" style="64" bestFit="1" customWidth="1"/>
    <col min="1030" max="1030" width="15.1796875" style="64" customWidth="1"/>
    <col min="1031" max="1031" width="5.54296875" style="64" customWidth="1"/>
    <col min="1032" max="1032" width="10.7265625" style="64" customWidth="1"/>
    <col min="1033" max="1033" width="9.453125" style="64" customWidth="1"/>
    <col min="1034" max="1034" width="22.453125" style="64" customWidth="1"/>
    <col min="1035" max="1035" width="12.1796875" style="64" customWidth="1"/>
    <col min="1036" max="1281" width="9.1796875" style="64"/>
    <col min="1282" max="1282" width="9.54296875" style="64" customWidth="1"/>
    <col min="1283" max="1283" width="5.1796875" style="64" customWidth="1"/>
    <col min="1284" max="1284" width="32.54296875" style="64" bestFit="1" customWidth="1"/>
    <col min="1285" max="1285" width="17.81640625" style="64" bestFit="1" customWidth="1"/>
    <col min="1286" max="1286" width="15.1796875" style="64" customWidth="1"/>
    <col min="1287" max="1287" width="5.54296875" style="64" customWidth="1"/>
    <col min="1288" max="1288" width="10.7265625" style="64" customWidth="1"/>
    <col min="1289" max="1289" width="9.453125" style="64" customWidth="1"/>
    <col min="1290" max="1290" width="22.453125" style="64" customWidth="1"/>
    <col min="1291" max="1291" width="12.1796875" style="64" customWidth="1"/>
    <col min="1292" max="1537" width="9.1796875" style="64"/>
    <col min="1538" max="1538" width="9.54296875" style="64" customWidth="1"/>
    <col min="1539" max="1539" width="5.1796875" style="64" customWidth="1"/>
    <col min="1540" max="1540" width="32.54296875" style="64" bestFit="1" customWidth="1"/>
    <col min="1541" max="1541" width="17.81640625" style="64" bestFit="1" customWidth="1"/>
    <col min="1542" max="1542" width="15.1796875" style="64" customWidth="1"/>
    <col min="1543" max="1543" width="5.54296875" style="64" customWidth="1"/>
    <col min="1544" max="1544" width="10.7265625" style="64" customWidth="1"/>
    <col min="1545" max="1545" width="9.453125" style="64" customWidth="1"/>
    <col min="1546" max="1546" width="22.453125" style="64" customWidth="1"/>
    <col min="1547" max="1547" width="12.1796875" style="64" customWidth="1"/>
    <col min="1548" max="1793" width="9.1796875" style="64"/>
    <col min="1794" max="1794" width="9.54296875" style="64" customWidth="1"/>
    <col min="1795" max="1795" width="5.1796875" style="64" customWidth="1"/>
    <col min="1796" max="1796" width="32.54296875" style="64" bestFit="1" customWidth="1"/>
    <col min="1797" max="1797" width="17.81640625" style="64" bestFit="1" customWidth="1"/>
    <col min="1798" max="1798" width="15.1796875" style="64" customWidth="1"/>
    <col min="1799" max="1799" width="5.54296875" style="64" customWidth="1"/>
    <col min="1800" max="1800" width="10.7265625" style="64" customWidth="1"/>
    <col min="1801" max="1801" width="9.453125" style="64" customWidth="1"/>
    <col min="1802" max="1802" width="22.453125" style="64" customWidth="1"/>
    <col min="1803" max="1803" width="12.1796875" style="64" customWidth="1"/>
    <col min="1804" max="2049" width="9.1796875" style="64"/>
    <col min="2050" max="2050" width="9.54296875" style="64" customWidth="1"/>
    <col min="2051" max="2051" width="5.1796875" style="64" customWidth="1"/>
    <col min="2052" max="2052" width="32.54296875" style="64" bestFit="1" customWidth="1"/>
    <col min="2053" max="2053" width="17.81640625" style="64" bestFit="1" customWidth="1"/>
    <col min="2054" max="2054" width="15.1796875" style="64" customWidth="1"/>
    <col min="2055" max="2055" width="5.54296875" style="64" customWidth="1"/>
    <col min="2056" max="2056" width="10.7265625" style="64" customWidth="1"/>
    <col min="2057" max="2057" width="9.453125" style="64" customWidth="1"/>
    <col min="2058" max="2058" width="22.453125" style="64" customWidth="1"/>
    <col min="2059" max="2059" width="12.1796875" style="64" customWidth="1"/>
    <col min="2060" max="2305" width="9.1796875" style="64"/>
    <col min="2306" max="2306" width="9.54296875" style="64" customWidth="1"/>
    <col min="2307" max="2307" width="5.1796875" style="64" customWidth="1"/>
    <col min="2308" max="2308" width="32.54296875" style="64" bestFit="1" customWidth="1"/>
    <col min="2309" max="2309" width="17.81640625" style="64" bestFit="1" customWidth="1"/>
    <col min="2310" max="2310" width="15.1796875" style="64" customWidth="1"/>
    <col min="2311" max="2311" width="5.54296875" style="64" customWidth="1"/>
    <col min="2312" max="2312" width="10.7265625" style="64" customWidth="1"/>
    <col min="2313" max="2313" width="9.453125" style="64" customWidth="1"/>
    <col min="2314" max="2314" width="22.453125" style="64" customWidth="1"/>
    <col min="2315" max="2315" width="12.1796875" style="64" customWidth="1"/>
    <col min="2316" max="2561" width="9.1796875" style="64"/>
    <col min="2562" max="2562" width="9.54296875" style="64" customWidth="1"/>
    <col min="2563" max="2563" width="5.1796875" style="64" customWidth="1"/>
    <col min="2564" max="2564" width="32.54296875" style="64" bestFit="1" customWidth="1"/>
    <col min="2565" max="2565" width="17.81640625" style="64" bestFit="1" customWidth="1"/>
    <col min="2566" max="2566" width="15.1796875" style="64" customWidth="1"/>
    <col min="2567" max="2567" width="5.54296875" style="64" customWidth="1"/>
    <col min="2568" max="2568" width="10.7265625" style="64" customWidth="1"/>
    <col min="2569" max="2569" width="9.453125" style="64" customWidth="1"/>
    <col min="2570" max="2570" width="22.453125" style="64" customWidth="1"/>
    <col min="2571" max="2571" width="12.1796875" style="64" customWidth="1"/>
    <col min="2572" max="2817" width="9.1796875" style="64"/>
    <col min="2818" max="2818" width="9.54296875" style="64" customWidth="1"/>
    <col min="2819" max="2819" width="5.1796875" style="64" customWidth="1"/>
    <col min="2820" max="2820" width="32.54296875" style="64" bestFit="1" customWidth="1"/>
    <col min="2821" max="2821" width="17.81640625" style="64" bestFit="1" customWidth="1"/>
    <col min="2822" max="2822" width="15.1796875" style="64" customWidth="1"/>
    <col min="2823" max="2823" width="5.54296875" style="64" customWidth="1"/>
    <col min="2824" max="2824" width="10.7265625" style="64" customWidth="1"/>
    <col min="2825" max="2825" width="9.453125" style="64" customWidth="1"/>
    <col min="2826" max="2826" width="22.453125" style="64" customWidth="1"/>
    <col min="2827" max="2827" width="12.1796875" style="64" customWidth="1"/>
    <col min="2828" max="3073" width="9.1796875" style="64"/>
    <col min="3074" max="3074" width="9.54296875" style="64" customWidth="1"/>
    <col min="3075" max="3075" width="5.1796875" style="64" customWidth="1"/>
    <col min="3076" max="3076" width="32.54296875" style="64" bestFit="1" customWidth="1"/>
    <col min="3077" max="3077" width="17.81640625" style="64" bestFit="1" customWidth="1"/>
    <col min="3078" max="3078" width="15.1796875" style="64" customWidth="1"/>
    <col min="3079" max="3079" width="5.54296875" style="64" customWidth="1"/>
    <col min="3080" max="3080" width="10.7265625" style="64" customWidth="1"/>
    <col min="3081" max="3081" width="9.453125" style="64" customWidth="1"/>
    <col min="3082" max="3082" width="22.453125" style="64" customWidth="1"/>
    <col min="3083" max="3083" width="12.1796875" style="64" customWidth="1"/>
    <col min="3084" max="3329" width="9.1796875" style="64"/>
    <col min="3330" max="3330" width="9.54296875" style="64" customWidth="1"/>
    <col min="3331" max="3331" width="5.1796875" style="64" customWidth="1"/>
    <col min="3332" max="3332" width="32.54296875" style="64" bestFit="1" customWidth="1"/>
    <col min="3333" max="3333" width="17.81640625" style="64" bestFit="1" customWidth="1"/>
    <col min="3334" max="3334" width="15.1796875" style="64" customWidth="1"/>
    <col min="3335" max="3335" width="5.54296875" style="64" customWidth="1"/>
    <col min="3336" max="3336" width="10.7265625" style="64" customWidth="1"/>
    <col min="3337" max="3337" width="9.453125" style="64" customWidth="1"/>
    <col min="3338" max="3338" width="22.453125" style="64" customWidth="1"/>
    <col min="3339" max="3339" width="12.1796875" style="64" customWidth="1"/>
    <col min="3340" max="3585" width="9.1796875" style="64"/>
    <col min="3586" max="3586" width="9.54296875" style="64" customWidth="1"/>
    <col min="3587" max="3587" width="5.1796875" style="64" customWidth="1"/>
    <col min="3588" max="3588" width="32.54296875" style="64" bestFit="1" customWidth="1"/>
    <col min="3589" max="3589" width="17.81640625" style="64" bestFit="1" customWidth="1"/>
    <col min="3590" max="3590" width="15.1796875" style="64" customWidth="1"/>
    <col min="3591" max="3591" width="5.54296875" style="64" customWidth="1"/>
    <col min="3592" max="3592" width="10.7265625" style="64" customWidth="1"/>
    <col min="3593" max="3593" width="9.453125" style="64" customWidth="1"/>
    <col min="3594" max="3594" width="22.453125" style="64" customWidth="1"/>
    <col min="3595" max="3595" width="12.1796875" style="64" customWidth="1"/>
    <col min="3596" max="3841" width="9.1796875" style="64"/>
    <col min="3842" max="3842" width="9.54296875" style="64" customWidth="1"/>
    <col min="3843" max="3843" width="5.1796875" style="64" customWidth="1"/>
    <col min="3844" max="3844" width="32.54296875" style="64" bestFit="1" customWidth="1"/>
    <col min="3845" max="3845" width="17.81640625" style="64" bestFit="1" customWidth="1"/>
    <col min="3846" max="3846" width="15.1796875" style="64" customWidth="1"/>
    <col min="3847" max="3847" width="5.54296875" style="64" customWidth="1"/>
    <col min="3848" max="3848" width="10.7265625" style="64" customWidth="1"/>
    <col min="3849" max="3849" width="9.453125" style="64" customWidth="1"/>
    <col min="3850" max="3850" width="22.453125" style="64" customWidth="1"/>
    <col min="3851" max="3851" width="12.1796875" style="64" customWidth="1"/>
    <col min="3852" max="4097" width="9.1796875" style="64"/>
    <col min="4098" max="4098" width="9.54296875" style="64" customWidth="1"/>
    <col min="4099" max="4099" width="5.1796875" style="64" customWidth="1"/>
    <col min="4100" max="4100" width="32.54296875" style="64" bestFit="1" customWidth="1"/>
    <col min="4101" max="4101" width="17.81640625" style="64" bestFit="1" customWidth="1"/>
    <col min="4102" max="4102" width="15.1796875" style="64" customWidth="1"/>
    <col min="4103" max="4103" width="5.54296875" style="64" customWidth="1"/>
    <col min="4104" max="4104" width="10.7265625" style="64" customWidth="1"/>
    <col min="4105" max="4105" width="9.453125" style="64" customWidth="1"/>
    <col min="4106" max="4106" width="22.453125" style="64" customWidth="1"/>
    <col min="4107" max="4107" width="12.1796875" style="64" customWidth="1"/>
    <col min="4108" max="4353" width="9.1796875" style="64"/>
    <col min="4354" max="4354" width="9.54296875" style="64" customWidth="1"/>
    <col min="4355" max="4355" width="5.1796875" style="64" customWidth="1"/>
    <col min="4356" max="4356" width="32.54296875" style="64" bestFit="1" customWidth="1"/>
    <col min="4357" max="4357" width="17.81640625" style="64" bestFit="1" customWidth="1"/>
    <col min="4358" max="4358" width="15.1796875" style="64" customWidth="1"/>
    <col min="4359" max="4359" width="5.54296875" style="64" customWidth="1"/>
    <col min="4360" max="4360" width="10.7265625" style="64" customWidth="1"/>
    <col min="4361" max="4361" width="9.453125" style="64" customWidth="1"/>
    <col min="4362" max="4362" width="22.453125" style="64" customWidth="1"/>
    <col min="4363" max="4363" width="12.1796875" style="64" customWidth="1"/>
    <col min="4364" max="4609" width="9.1796875" style="64"/>
    <col min="4610" max="4610" width="9.54296875" style="64" customWidth="1"/>
    <col min="4611" max="4611" width="5.1796875" style="64" customWidth="1"/>
    <col min="4612" max="4612" width="32.54296875" style="64" bestFit="1" customWidth="1"/>
    <col min="4613" max="4613" width="17.81640625" style="64" bestFit="1" customWidth="1"/>
    <col min="4614" max="4614" width="15.1796875" style="64" customWidth="1"/>
    <col min="4615" max="4615" width="5.54296875" style="64" customWidth="1"/>
    <col min="4616" max="4616" width="10.7265625" style="64" customWidth="1"/>
    <col min="4617" max="4617" width="9.453125" style="64" customWidth="1"/>
    <col min="4618" max="4618" width="22.453125" style="64" customWidth="1"/>
    <col min="4619" max="4619" width="12.1796875" style="64" customWidth="1"/>
    <col min="4620" max="4865" width="9.1796875" style="64"/>
    <col min="4866" max="4866" width="9.54296875" style="64" customWidth="1"/>
    <col min="4867" max="4867" width="5.1796875" style="64" customWidth="1"/>
    <col min="4868" max="4868" width="32.54296875" style="64" bestFit="1" customWidth="1"/>
    <col min="4869" max="4869" width="17.81640625" style="64" bestFit="1" customWidth="1"/>
    <col min="4870" max="4870" width="15.1796875" style="64" customWidth="1"/>
    <col min="4871" max="4871" width="5.54296875" style="64" customWidth="1"/>
    <col min="4872" max="4872" width="10.7265625" style="64" customWidth="1"/>
    <col min="4873" max="4873" width="9.453125" style="64" customWidth="1"/>
    <col min="4874" max="4874" width="22.453125" style="64" customWidth="1"/>
    <col min="4875" max="4875" width="12.1796875" style="64" customWidth="1"/>
    <col min="4876" max="5121" width="9.1796875" style="64"/>
    <col min="5122" max="5122" width="9.54296875" style="64" customWidth="1"/>
    <col min="5123" max="5123" width="5.1796875" style="64" customWidth="1"/>
    <col min="5124" max="5124" width="32.54296875" style="64" bestFit="1" customWidth="1"/>
    <col min="5125" max="5125" width="17.81640625" style="64" bestFit="1" customWidth="1"/>
    <col min="5126" max="5126" width="15.1796875" style="64" customWidth="1"/>
    <col min="5127" max="5127" width="5.54296875" style="64" customWidth="1"/>
    <col min="5128" max="5128" width="10.7265625" style="64" customWidth="1"/>
    <col min="5129" max="5129" width="9.453125" style="64" customWidth="1"/>
    <col min="5130" max="5130" width="22.453125" style="64" customWidth="1"/>
    <col min="5131" max="5131" width="12.1796875" style="64" customWidth="1"/>
    <col min="5132" max="5377" width="9.1796875" style="64"/>
    <col min="5378" max="5378" width="9.54296875" style="64" customWidth="1"/>
    <col min="5379" max="5379" width="5.1796875" style="64" customWidth="1"/>
    <col min="5380" max="5380" width="32.54296875" style="64" bestFit="1" customWidth="1"/>
    <col min="5381" max="5381" width="17.81640625" style="64" bestFit="1" customWidth="1"/>
    <col min="5382" max="5382" width="15.1796875" style="64" customWidth="1"/>
    <col min="5383" max="5383" width="5.54296875" style="64" customWidth="1"/>
    <col min="5384" max="5384" width="10.7265625" style="64" customWidth="1"/>
    <col min="5385" max="5385" width="9.453125" style="64" customWidth="1"/>
    <col min="5386" max="5386" width="22.453125" style="64" customWidth="1"/>
    <col min="5387" max="5387" width="12.1796875" style="64" customWidth="1"/>
    <col min="5388" max="5633" width="9.1796875" style="64"/>
    <col min="5634" max="5634" width="9.54296875" style="64" customWidth="1"/>
    <col min="5635" max="5635" width="5.1796875" style="64" customWidth="1"/>
    <col min="5636" max="5636" width="32.54296875" style="64" bestFit="1" customWidth="1"/>
    <col min="5637" max="5637" width="17.81640625" style="64" bestFit="1" customWidth="1"/>
    <col min="5638" max="5638" width="15.1796875" style="64" customWidth="1"/>
    <col min="5639" max="5639" width="5.54296875" style="64" customWidth="1"/>
    <col min="5640" max="5640" width="10.7265625" style="64" customWidth="1"/>
    <col min="5641" max="5641" width="9.453125" style="64" customWidth="1"/>
    <col min="5642" max="5642" width="22.453125" style="64" customWidth="1"/>
    <col min="5643" max="5643" width="12.1796875" style="64" customWidth="1"/>
    <col min="5644" max="5889" width="9.1796875" style="64"/>
    <col min="5890" max="5890" width="9.54296875" style="64" customWidth="1"/>
    <col min="5891" max="5891" width="5.1796875" style="64" customWidth="1"/>
    <col min="5892" max="5892" width="32.54296875" style="64" bestFit="1" customWidth="1"/>
    <col min="5893" max="5893" width="17.81640625" style="64" bestFit="1" customWidth="1"/>
    <col min="5894" max="5894" width="15.1796875" style="64" customWidth="1"/>
    <col min="5895" max="5895" width="5.54296875" style="64" customWidth="1"/>
    <col min="5896" max="5896" width="10.7265625" style="64" customWidth="1"/>
    <col min="5897" max="5897" width="9.453125" style="64" customWidth="1"/>
    <col min="5898" max="5898" width="22.453125" style="64" customWidth="1"/>
    <col min="5899" max="5899" width="12.1796875" style="64" customWidth="1"/>
    <col min="5900" max="6145" width="9.1796875" style="64"/>
    <col min="6146" max="6146" width="9.54296875" style="64" customWidth="1"/>
    <col min="6147" max="6147" width="5.1796875" style="64" customWidth="1"/>
    <col min="6148" max="6148" width="32.54296875" style="64" bestFit="1" customWidth="1"/>
    <col min="6149" max="6149" width="17.81640625" style="64" bestFit="1" customWidth="1"/>
    <col min="6150" max="6150" width="15.1796875" style="64" customWidth="1"/>
    <col min="6151" max="6151" width="5.54296875" style="64" customWidth="1"/>
    <col min="6152" max="6152" width="10.7265625" style="64" customWidth="1"/>
    <col min="6153" max="6153" width="9.453125" style="64" customWidth="1"/>
    <col min="6154" max="6154" width="22.453125" style="64" customWidth="1"/>
    <col min="6155" max="6155" width="12.1796875" style="64" customWidth="1"/>
    <col min="6156" max="6401" width="9.1796875" style="64"/>
    <col min="6402" max="6402" width="9.54296875" style="64" customWidth="1"/>
    <col min="6403" max="6403" width="5.1796875" style="64" customWidth="1"/>
    <col min="6404" max="6404" width="32.54296875" style="64" bestFit="1" customWidth="1"/>
    <col min="6405" max="6405" width="17.81640625" style="64" bestFit="1" customWidth="1"/>
    <col min="6406" max="6406" width="15.1796875" style="64" customWidth="1"/>
    <col min="6407" max="6407" width="5.54296875" style="64" customWidth="1"/>
    <col min="6408" max="6408" width="10.7265625" style="64" customWidth="1"/>
    <col min="6409" max="6409" width="9.453125" style="64" customWidth="1"/>
    <col min="6410" max="6410" width="22.453125" style="64" customWidth="1"/>
    <col min="6411" max="6411" width="12.1796875" style="64" customWidth="1"/>
    <col min="6412" max="6657" width="9.1796875" style="64"/>
    <col min="6658" max="6658" width="9.54296875" style="64" customWidth="1"/>
    <col min="6659" max="6659" width="5.1796875" style="64" customWidth="1"/>
    <col min="6660" max="6660" width="32.54296875" style="64" bestFit="1" customWidth="1"/>
    <col min="6661" max="6661" width="17.81640625" style="64" bestFit="1" customWidth="1"/>
    <col min="6662" max="6662" width="15.1796875" style="64" customWidth="1"/>
    <col min="6663" max="6663" width="5.54296875" style="64" customWidth="1"/>
    <col min="6664" max="6664" width="10.7265625" style="64" customWidth="1"/>
    <col min="6665" max="6665" width="9.453125" style="64" customWidth="1"/>
    <col min="6666" max="6666" width="22.453125" style="64" customWidth="1"/>
    <col min="6667" max="6667" width="12.1796875" style="64" customWidth="1"/>
    <col min="6668" max="6913" width="9.1796875" style="64"/>
    <col min="6914" max="6914" width="9.54296875" style="64" customWidth="1"/>
    <col min="6915" max="6915" width="5.1796875" style="64" customWidth="1"/>
    <col min="6916" max="6916" width="32.54296875" style="64" bestFit="1" customWidth="1"/>
    <col min="6917" max="6917" width="17.81640625" style="64" bestFit="1" customWidth="1"/>
    <col min="6918" max="6918" width="15.1796875" style="64" customWidth="1"/>
    <col min="6919" max="6919" width="5.54296875" style="64" customWidth="1"/>
    <col min="6920" max="6920" width="10.7265625" style="64" customWidth="1"/>
    <col min="6921" max="6921" width="9.453125" style="64" customWidth="1"/>
    <col min="6922" max="6922" width="22.453125" style="64" customWidth="1"/>
    <col min="6923" max="6923" width="12.1796875" style="64" customWidth="1"/>
    <col min="6924" max="7169" width="9.1796875" style="64"/>
    <col min="7170" max="7170" width="9.54296875" style="64" customWidth="1"/>
    <col min="7171" max="7171" width="5.1796875" style="64" customWidth="1"/>
    <col min="7172" max="7172" width="32.54296875" style="64" bestFit="1" customWidth="1"/>
    <col min="7173" max="7173" width="17.81640625" style="64" bestFit="1" customWidth="1"/>
    <col min="7174" max="7174" width="15.1796875" style="64" customWidth="1"/>
    <col min="7175" max="7175" width="5.54296875" style="64" customWidth="1"/>
    <col min="7176" max="7176" width="10.7265625" style="64" customWidth="1"/>
    <col min="7177" max="7177" width="9.453125" style="64" customWidth="1"/>
    <col min="7178" max="7178" width="22.453125" style="64" customWidth="1"/>
    <col min="7179" max="7179" width="12.1796875" style="64" customWidth="1"/>
    <col min="7180" max="7425" width="9.1796875" style="64"/>
    <col min="7426" max="7426" width="9.54296875" style="64" customWidth="1"/>
    <col min="7427" max="7427" width="5.1796875" style="64" customWidth="1"/>
    <col min="7428" max="7428" width="32.54296875" style="64" bestFit="1" customWidth="1"/>
    <col min="7429" max="7429" width="17.81640625" style="64" bestFit="1" customWidth="1"/>
    <col min="7430" max="7430" width="15.1796875" style="64" customWidth="1"/>
    <col min="7431" max="7431" width="5.54296875" style="64" customWidth="1"/>
    <col min="7432" max="7432" width="10.7265625" style="64" customWidth="1"/>
    <col min="7433" max="7433" width="9.453125" style="64" customWidth="1"/>
    <col min="7434" max="7434" width="22.453125" style="64" customWidth="1"/>
    <col min="7435" max="7435" width="12.1796875" style="64" customWidth="1"/>
    <col min="7436" max="7681" width="9.1796875" style="64"/>
    <col min="7682" max="7682" width="9.54296875" style="64" customWidth="1"/>
    <col min="7683" max="7683" width="5.1796875" style="64" customWidth="1"/>
    <col min="7684" max="7684" width="32.54296875" style="64" bestFit="1" customWidth="1"/>
    <col min="7685" max="7685" width="17.81640625" style="64" bestFit="1" customWidth="1"/>
    <col min="7686" max="7686" width="15.1796875" style="64" customWidth="1"/>
    <col min="7687" max="7687" width="5.54296875" style="64" customWidth="1"/>
    <col min="7688" max="7688" width="10.7265625" style="64" customWidth="1"/>
    <col min="7689" max="7689" width="9.453125" style="64" customWidth="1"/>
    <col min="7690" max="7690" width="22.453125" style="64" customWidth="1"/>
    <col min="7691" max="7691" width="12.1796875" style="64" customWidth="1"/>
    <col min="7692" max="7937" width="9.1796875" style="64"/>
    <col min="7938" max="7938" width="9.54296875" style="64" customWidth="1"/>
    <col min="7939" max="7939" width="5.1796875" style="64" customWidth="1"/>
    <col min="7940" max="7940" width="32.54296875" style="64" bestFit="1" customWidth="1"/>
    <col min="7941" max="7941" width="17.81640625" style="64" bestFit="1" customWidth="1"/>
    <col min="7942" max="7942" width="15.1796875" style="64" customWidth="1"/>
    <col min="7943" max="7943" width="5.54296875" style="64" customWidth="1"/>
    <col min="7944" max="7944" width="10.7265625" style="64" customWidth="1"/>
    <col min="7945" max="7945" width="9.453125" style="64" customWidth="1"/>
    <col min="7946" max="7946" width="22.453125" style="64" customWidth="1"/>
    <col min="7947" max="7947" width="12.1796875" style="64" customWidth="1"/>
    <col min="7948" max="8193" width="9.1796875" style="64"/>
    <col min="8194" max="8194" width="9.54296875" style="64" customWidth="1"/>
    <col min="8195" max="8195" width="5.1796875" style="64" customWidth="1"/>
    <col min="8196" max="8196" width="32.54296875" style="64" bestFit="1" customWidth="1"/>
    <col min="8197" max="8197" width="17.81640625" style="64" bestFit="1" customWidth="1"/>
    <col min="8198" max="8198" width="15.1796875" style="64" customWidth="1"/>
    <col min="8199" max="8199" width="5.54296875" style="64" customWidth="1"/>
    <col min="8200" max="8200" width="10.7265625" style="64" customWidth="1"/>
    <col min="8201" max="8201" width="9.453125" style="64" customWidth="1"/>
    <col min="8202" max="8202" width="22.453125" style="64" customWidth="1"/>
    <col min="8203" max="8203" width="12.1796875" style="64" customWidth="1"/>
    <col min="8204" max="8449" width="9.1796875" style="64"/>
    <col min="8450" max="8450" width="9.54296875" style="64" customWidth="1"/>
    <col min="8451" max="8451" width="5.1796875" style="64" customWidth="1"/>
    <col min="8452" max="8452" width="32.54296875" style="64" bestFit="1" customWidth="1"/>
    <col min="8453" max="8453" width="17.81640625" style="64" bestFit="1" customWidth="1"/>
    <col min="8454" max="8454" width="15.1796875" style="64" customWidth="1"/>
    <col min="8455" max="8455" width="5.54296875" style="64" customWidth="1"/>
    <col min="8456" max="8456" width="10.7265625" style="64" customWidth="1"/>
    <col min="8457" max="8457" width="9.453125" style="64" customWidth="1"/>
    <col min="8458" max="8458" width="22.453125" style="64" customWidth="1"/>
    <col min="8459" max="8459" width="12.1796875" style="64" customWidth="1"/>
    <col min="8460" max="8705" width="9.1796875" style="64"/>
    <col min="8706" max="8706" width="9.54296875" style="64" customWidth="1"/>
    <col min="8707" max="8707" width="5.1796875" style="64" customWidth="1"/>
    <col min="8708" max="8708" width="32.54296875" style="64" bestFit="1" customWidth="1"/>
    <col min="8709" max="8709" width="17.81640625" style="64" bestFit="1" customWidth="1"/>
    <col min="8710" max="8710" width="15.1796875" style="64" customWidth="1"/>
    <col min="8711" max="8711" width="5.54296875" style="64" customWidth="1"/>
    <col min="8712" max="8712" width="10.7265625" style="64" customWidth="1"/>
    <col min="8713" max="8713" width="9.453125" style="64" customWidth="1"/>
    <col min="8714" max="8714" width="22.453125" style="64" customWidth="1"/>
    <col min="8715" max="8715" width="12.1796875" style="64" customWidth="1"/>
    <col min="8716" max="8961" width="9.1796875" style="64"/>
    <col min="8962" max="8962" width="9.54296875" style="64" customWidth="1"/>
    <col min="8963" max="8963" width="5.1796875" style="64" customWidth="1"/>
    <col min="8964" max="8964" width="32.54296875" style="64" bestFit="1" customWidth="1"/>
    <col min="8965" max="8965" width="17.81640625" style="64" bestFit="1" customWidth="1"/>
    <col min="8966" max="8966" width="15.1796875" style="64" customWidth="1"/>
    <col min="8967" max="8967" width="5.54296875" style="64" customWidth="1"/>
    <col min="8968" max="8968" width="10.7265625" style="64" customWidth="1"/>
    <col min="8969" max="8969" width="9.453125" style="64" customWidth="1"/>
    <col min="8970" max="8970" width="22.453125" style="64" customWidth="1"/>
    <col min="8971" max="8971" width="12.1796875" style="64" customWidth="1"/>
    <col min="8972" max="9217" width="9.1796875" style="64"/>
    <col min="9218" max="9218" width="9.54296875" style="64" customWidth="1"/>
    <col min="9219" max="9219" width="5.1796875" style="64" customWidth="1"/>
    <col min="9220" max="9220" width="32.54296875" style="64" bestFit="1" customWidth="1"/>
    <col min="9221" max="9221" width="17.81640625" style="64" bestFit="1" customWidth="1"/>
    <col min="9222" max="9222" width="15.1796875" style="64" customWidth="1"/>
    <col min="9223" max="9223" width="5.54296875" style="64" customWidth="1"/>
    <col min="9224" max="9224" width="10.7265625" style="64" customWidth="1"/>
    <col min="9225" max="9225" width="9.453125" style="64" customWidth="1"/>
    <col min="9226" max="9226" width="22.453125" style="64" customWidth="1"/>
    <col min="9227" max="9227" width="12.1796875" style="64" customWidth="1"/>
    <col min="9228" max="9473" width="9.1796875" style="64"/>
    <col min="9474" max="9474" width="9.54296875" style="64" customWidth="1"/>
    <col min="9475" max="9475" width="5.1796875" style="64" customWidth="1"/>
    <col min="9476" max="9476" width="32.54296875" style="64" bestFit="1" customWidth="1"/>
    <col min="9477" max="9477" width="17.81640625" style="64" bestFit="1" customWidth="1"/>
    <col min="9478" max="9478" width="15.1796875" style="64" customWidth="1"/>
    <col min="9479" max="9479" width="5.54296875" style="64" customWidth="1"/>
    <col min="9480" max="9480" width="10.7265625" style="64" customWidth="1"/>
    <col min="9481" max="9481" width="9.453125" style="64" customWidth="1"/>
    <col min="9482" max="9482" width="22.453125" style="64" customWidth="1"/>
    <col min="9483" max="9483" width="12.1796875" style="64" customWidth="1"/>
    <col min="9484" max="9729" width="9.1796875" style="64"/>
    <col min="9730" max="9730" width="9.54296875" style="64" customWidth="1"/>
    <col min="9731" max="9731" width="5.1796875" style="64" customWidth="1"/>
    <col min="9732" max="9732" width="32.54296875" style="64" bestFit="1" customWidth="1"/>
    <col min="9733" max="9733" width="17.81640625" style="64" bestFit="1" customWidth="1"/>
    <col min="9734" max="9734" width="15.1796875" style="64" customWidth="1"/>
    <col min="9735" max="9735" width="5.54296875" style="64" customWidth="1"/>
    <col min="9736" max="9736" width="10.7265625" style="64" customWidth="1"/>
    <col min="9737" max="9737" width="9.453125" style="64" customWidth="1"/>
    <col min="9738" max="9738" width="22.453125" style="64" customWidth="1"/>
    <col min="9739" max="9739" width="12.1796875" style="64" customWidth="1"/>
    <col min="9740" max="9985" width="9.1796875" style="64"/>
    <col min="9986" max="9986" width="9.54296875" style="64" customWidth="1"/>
    <col min="9987" max="9987" width="5.1796875" style="64" customWidth="1"/>
    <col min="9988" max="9988" width="32.54296875" style="64" bestFit="1" customWidth="1"/>
    <col min="9989" max="9989" width="17.81640625" style="64" bestFit="1" customWidth="1"/>
    <col min="9990" max="9990" width="15.1796875" style="64" customWidth="1"/>
    <col min="9991" max="9991" width="5.54296875" style="64" customWidth="1"/>
    <col min="9992" max="9992" width="10.7265625" style="64" customWidth="1"/>
    <col min="9993" max="9993" width="9.453125" style="64" customWidth="1"/>
    <col min="9994" max="9994" width="22.453125" style="64" customWidth="1"/>
    <col min="9995" max="9995" width="12.1796875" style="64" customWidth="1"/>
    <col min="9996" max="10241" width="9.1796875" style="64"/>
    <col min="10242" max="10242" width="9.54296875" style="64" customWidth="1"/>
    <col min="10243" max="10243" width="5.1796875" style="64" customWidth="1"/>
    <col min="10244" max="10244" width="32.54296875" style="64" bestFit="1" customWidth="1"/>
    <col min="10245" max="10245" width="17.81640625" style="64" bestFit="1" customWidth="1"/>
    <col min="10246" max="10246" width="15.1796875" style="64" customWidth="1"/>
    <col min="10247" max="10247" width="5.54296875" style="64" customWidth="1"/>
    <col min="10248" max="10248" width="10.7265625" style="64" customWidth="1"/>
    <col min="10249" max="10249" width="9.453125" style="64" customWidth="1"/>
    <col min="10250" max="10250" width="22.453125" style="64" customWidth="1"/>
    <col min="10251" max="10251" width="12.1796875" style="64" customWidth="1"/>
    <col min="10252" max="10497" width="9.1796875" style="64"/>
    <col min="10498" max="10498" width="9.54296875" style="64" customWidth="1"/>
    <col min="10499" max="10499" width="5.1796875" style="64" customWidth="1"/>
    <col min="10500" max="10500" width="32.54296875" style="64" bestFit="1" customWidth="1"/>
    <col min="10501" max="10501" width="17.81640625" style="64" bestFit="1" customWidth="1"/>
    <col min="10502" max="10502" width="15.1796875" style="64" customWidth="1"/>
    <col min="10503" max="10503" width="5.54296875" style="64" customWidth="1"/>
    <col min="10504" max="10504" width="10.7265625" style="64" customWidth="1"/>
    <col min="10505" max="10505" width="9.453125" style="64" customWidth="1"/>
    <col min="10506" max="10506" width="22.453125" style="64" customWidth="1"/>
    <col min="10507" max="10507" width="12.1796875" style="64" customWidth="1"/>
    <col min="10508" max="10753" width="9.1796875" style="64"/>
    <col min="10754" max="10754" width="9.54296875" style="64" customWidth="1"/>
    <col min="10755" max="10755" width="5.1796875" style="64" customWidth="1"/>
    <col min="10756" max="10756" width="32.54296875" style="64" bestFit="1" customWidth="1"/>
    <col min="10757" max="10757" width="17.81640625" style="64" bestFit="1" customWidth="1"/>
    <col min="10758" max="10758" width="15.1796875" style="64" customWidth="1"/>
    <col min="10759" max="10759" width="5.54296875" style="64" customWidth="1"/>
    <col min="10760" max="10760" width="10.7265625" style="64" customWidth="1"/>
    <col min="10761" max="10761" width="9.453125" style="64" customWidth="1"/>
    <col min="10762" max="10762" width="22.453125" style="64" customWidth="1"/>
    <col min="10763" max="10763" width="12.1796875" style="64" customWidth="1"/>
    <col min="10764" max="11009" width="9.1796875" style="64"/>
    <col min="11010" max="11010" width="9.54296875" style="64" customWidth="1"/>
    <col min="11011" max="11011" width="5.1796875" style="64" customWidth="1"/>
    <col min="11012" max="11012" width="32.54296875" style="64" bestFit="1" customWidth="1"/>
    <col min="11013" max="11013" width="17.81640625" style="64" bestFit="1" customWidth="1"/>
    <col min="11014" max="11014" width="15.1796875" style="64" customWidth="1"/>
    <col min="11015" max="11015" width="5.54296875" style="64" customWidth="1"/>
    <col min="11016" max="11016" width="10.7265625" style="64" customWidth="1"/>
    <col min="11017" max="11017" width="9.453125" style="64" customWidth="1"/>
    <col min="11018" max="11018" width="22.453125" style="64" customWidth="1"/>
    <col min="11019" max="11019" width="12.1796875" style="64" customWidth="1"/>
    <col min="11020" max="11265" width="9.1796875" style="64"/>
    <col min="11266" max="11266" width="9.54296875" style="64" customWidth="1"/>
    <col min="11267" max="11267" width="5.1796875" style="64" customWidth="1"/>
    <col min="11268" max="11268" width="32.54296875" style="64" bestFit="1" customWidth="1"/>
    <col min="11269" max="11269" width="17.81640625" style="64" bestFit="1" customWidth="1"/>
    <col min="11270" max="11270" width="15.1796875" style="64" customWidth="1"/>
    <col min="11271" max="11271" width="5.54296875" style="64" customWidth="1"/>
    <col min="11272" max="11272" width="10.7265625" style="64" customWidth="1"/>
    <col min="11273" max="11273" width="9.453125" style="64" customWidth="1"/>
    <col min="11274" max="11274" width="22.453125" style="64" customWidth="1"/>
    <col min="11275" max="11275" width="12.1796875" style="64" customWidth="1"/>
    <col min="11276" max="11521" width="9.1796875" style="64"/>
    <col min="11522" max="11522" width="9.54296875" style="64" customWidth="1"/>
    <col min="11523" max="11523" width="5.1796875" style="64" customWidth="1"/>
    <col min="11524" max="11524" width="32.54296875" style="64" bestFit="1" customWidth="1"/>
    <col min="11525" max="11525" width="17.81640625" style="64" bestFit="1" customWidth="1"/>
    <col min="11526" max="11526" width="15.1796875" style="64" customWidth="1"/>
    <col min="11527" max="11527" width="5.54296875" style="64" customWidth="1"/>
    <col min="11528" max="11528" width="10.7265625" style="64" customWidth="1"/>
    <col min="11529" max="11529" width="9.453125" style="64" customWidth="1"/>
    <col min="11530" max="11530" width="22.453125" style="64" customWidth="1"/>
    <col min="11531" max="11531" width="12.1796875" style="64" customWidth="1"/>
    <col min="11532" max="11777" width="9.1796875" style="64"/>
    <col min="11778" max="11778" width="9.54296875" style="64" customWidth="1"/>
    <col min="11779" max="11779" width="5.1796875" style="64" customWidth="1"/>
    <col min="11780" max="11780" width="32.54296875" style="64" bestFit="1" customWidth="1"/>
    <col min="11781" max="11781" width="17.81640625" style="64" bestFit="1" customWidth="1"/>
    <col min="11782" max="11782" width="15.1796875" style="64" customWidth="1"/>
    <col min="11783" max="11783" width="5.54296875" style="64" customWidth="1"/>
    <col min="11784" max="11784" width="10.7265625" style="64" customWidth="1"/>
    <col min="11785" max="11785" width="9.453125" style="64" customWidth="1"/>
    <col min="11786" max="11786" width="22.453125" style="64" customWidth="1"/>
    <col min="11787" max="11787" width="12.1796875" style="64" customWidth="1"/>
    <col min="11788" max="12033" width="9.1796875" style="64"/>
    <col min="12034" max="12034" width="9.54296875" style="64" customWidth="1"/>
    <col min="12035" max="12035" width="5.1796875" style="64" customWidth="1"/>
    <col min="12036" max="12036" width="32.54296875" style="64" bestFit="1" customWidth="1"/>
    <col min="12037" max="12037" width="17.81640625" style="64" bestFit="1" customWidth="1"/>
    <col min="12038" max="12038" width="15.1796875" style="64" customWidth="1"/>
    <col min="12039" max="12039" width="5.54296875" style="64" customWidth="1"/>
    <col min="12040" max="12040" width="10.7265625" style="64" customWidth="1"/>
    <col min="12041" max="12041" width="9.453125" style="64" customWidth="1"/>
    <col min="12042" max="12042" width="22.453125" style="64" customWidth="1"/>
    <col min="12043" max="12043" width="12.1796875" style="64" customWidth="1"/>
    <col min="12044" max="12289" width="9.1796875" style="64"/>
    <col min="12290" max="12290" width="9.54296875" style="64" customWidth="1"/>
    <col min="12291" max="12291" width="5.1796875" style="64" customWidth="1"/>
    <col min="12292" max="12292" width="32.54296875" style="64" bestFit="1" customWidth="1"/>
    <col min="12293" max="12293" width="17.81640625" style="64" bestFit="1" customWidth="1"/>
    <col min="12294" max="12294" width="15.1796875" style="64" customWidth="1"/>
    <col min="12295" max="12295" width="5.54296875" style="64" customWidth="1"/>
    <col min="12296" max="12296" width="10.7265625" style="64" customWidth="1"/>
    <col min="12297" max="12297" width="9.453125" style="64" customWidth="1"/>
    <col min="12298" max="12298" width="22.453125" style="64" customWidth="1"/>
    <col min="12299" max="12299" width="12.1796875" style="64" customWidth="1"/>
    <col min="12300" max="12545" width="9.1796875" style="64"/>
    <col min="12546" max="12546" width="9.54296875" style="64" customWidth="1"/>
    <col min="12547" max="12547" width="5.1796875" style="64" customWidth="1"/>
    <col min="12548" max="12548" width="32.54296875" style="64" bestFit="1" customWidth="1"/>
    <col min="12549" max="12549" width="17.81640625" style="64" bestFit="1" customWidth="1"/>
    <col min="12550" max="12550" width="15.1796875" style="64" customWidth="1"/>
    <col min="12551" max="12551" width="5.54296875" style="64" customWidth="1"/>
    <col min="12552" max="12552" width="10.7265625" style="64" customWidth="1"/>
    <col min="12553" max="12553" width="9.453125" style="64" customWidth="1"/>
    <col min="12554" max="12554" width="22.453125" style="64" customWidth="1"/>
    <col min="12555" max="12555" width="12.1796875" style="64" customWidth="1"/>
    <col min="12556" max="12801" width="9.1796875" style="64"/>
    <col min="12802" max="12802" width="9.54296875" style="64" customWidth="1"/>
    <col min="12803" max="12803" width="5.1796875" style="64" customWidth="1"/>
    <col min="12804" max="12804" width="32.54296875" style="64" bestFit="1" customWidth="1"/>
    <col min="12805" max="12805" width="17.81640625" style="64" bestFit="1" customWidth="1"/>
    <col min="12806" max="12806" width="15.1796875" style="64" customWidth="1"/>
    <col min="12807" max="12807" width="5.54296875" style="64" customWidth="1"/>
    <col min="12808" max="12808" width="10.7265625" style="64" customWidth="1"/>
    <col min="12809" max="12809" width="9.453125" style="64" customWidth="1"/>
    <col min="12810" max="12810" width="22.453125" style="64" customWidth="1"/>
    <col min="12811" max="12811" width="12.1796875" style="64" customWidth="1"/>
    <col min="12812" max="13057" width="9.1796875" style="64"/>
    <col min="13058" max="13058" width="9.54296875" style="64" customWidth="1"/>
    <col min="13059" max="13059" width="5.1796875" style="64" customWidth="1"/>
    <col min="13060" max="13060" width="32.54296875" style="64" bestFit="1" customWidth="1"/>
    <col min="13061" max="13061" width="17.81640625" style="64" bestFit="1" customWidth="1"/>
    <col min="13062" max="13062" width="15.1796875" style="64" customWidth="1"/>
    <col min="13063" max="13063" width="5.54296875" style="64" customWidth="1"/>
    <col min="13064" max="13064" width="10.7265625" style="64" customWidth="1"/>
    <col min="13065" max="13065" width="9.453125" style="64" customWidth="1"/>
    <col min="13066" max="13066" width="22.453125" style="64" customWidth="1"/>
    <col min="13067" max="13067" width="12.1796875" style="64" customWidth="1"/>
    <col min="13068" max="13313" width="9.1796875" style="64"/>
    <col min="13314" max="13314" width="9.54296875" style="64" customWidth="1"/>
    <col min="13315" max="13315" width="5.1796875" style="64" customWidth="1"/>
    <col min="13316" max="13316" width="32.54296875" style="64" bestFit="1" customWidth="1"/>
    <col min="13317" max="13317" width="17.81640625" style="64" bestFit="1" customWidth="1"/>
    <col min="13318" max="13318" width="15.1796875" style="64" customWidth="1"/>
    <col min="13319" max="13319" width="5.54296875" style="64" customWidth="1"/>
    <col min="13320" max="13320" width="10.7265625" style="64" customWidth="1"/>
    <col min="13321" max="13321" width="9.453125" style="64" customWidth="1"/>
    <col min="13322" max="13322" width="22.453125" style="64" customWidth="1"/>
    <col min="13323" max="13323" width="12.1796875" style="64" customWidth="1"/>
    <col min="13324" max="13569" width="9.1796875" style="64"/>
    <col min="13570" max="13570" width="9.54296875" style="64" customWidth="1"/>
    <col min="13571" max="13571" width="5.1796875" style="64" customWidth="1"/>
    <col min="13572" max="13572" width="32.54296875" style="64" bestFit="1" customWidth="1"/>
    <col min="13573" max="13573" width="17.81640625" style="64" bestFit="1" customWidth="1"/>
    <col min="13574" max="13574" width="15.1796875" style="64" customWidth="1"/>
    <col min="13575" max="13575" width="5.54296875" style="64" customWidth="1"/>
    <col min="13576" max="13576" width="10.7265625" style="64" customWidth="1"/>
    <col min="13577" max="13577" width="9.453125" style="64" customWidth="1"/>
    <col min="13578" max="13578" width="22.453125" style="64" customWidth="1"/>
    <col min="13579" max="13579" width="12.1796875" style="64" customWidth="1"/>
    <col min="13580" max="13825" width="9.1796875" style="64"/>
    <col min="13826" max="13826" width="9.54296875" style="64" customWidth="1"/>
    <col min="13827" max="13827" width="5.1796875" style="64" customWidth="1"/>
    <col min="13828" max="13828" width="32.54296875" style="64" bestFit="1" customWidth="1"/>
    <col min="13829" max="13829" width="17.81640625" style="64" bestFit="1" customWidth="1"/>
    <col min="13830" max="13830" width="15.1796875" style="64" customWidth="1"/>
    <col min="13831" max="13831" width="5.54296875" style="64" customWidth="1"/>
    <col min="13832" max="13832" width="10.7265625" style="64" customWidth="1"/>
    <col min="13833" max="13833" width="9.453125" style="64" customWidth="1"/>
    <col min="13834" max="13834" width="22.453125" style="64" customWidth="1"/>
    <col min="13835" max="13835" width="12.1796875" style="64" customWidth="1"/>
    <col min="13836" max="14081" width="9.1796875" style="64"/>
    <col min="14082" max="14082" width="9.54296875" style="64" customWidth="1"/>
    <col min="14083" max="14083" width="5.1796875" style="64" customWidth="1"/>
    <col min="14084" max="14084" width="32.54296875" style="64" bestFit="1" customWidth="1"/>
    <col min="14085" max="14085" width="17.81640625" style="64" bestFit="1" customWidth="1"/>
    <col min="14086" max="14086" width="15.1796875" style="64" customWidth="1"/>
    <col min="14087" max="14087" width="5.54296875" style="64" customWidth="1"/>
    <col min="14088" max="14088" width="10.7265625" style="64" customWidth="1"/>
    <col min="14089" max="14089" width="9.453125" style="64" customWidth="1"/>
    <col min="14090" max="14090" width="22.453125" style="64" customWidth="1"/>
    <col min="14091" max="14091" width="12.1796875" style="64" customWidth="1"/>
    <col min="14092" max="14337" width="9.1796875" style="64"/>
    <col min="14338" max="14338" width="9.54296875" style="64" customWidth="1"/>
    <col min="14339" max="14339" width="5.1796875" style="64" customWidth="1"/>
    <col min="14340" max="14340" width="32.54296875" style="64" bestFit="1" customWidth="1"/>
    <col min="14341" max="14341" width="17.81640625" style="64" bestFit="1" customWidth="1"/>
    <col min="14342" max="14342" width="15.1796875" style="64" customWidth="1"/>
    <col min="14343" max="14343" width="5.54296875" style="64" customWidth="1"/>
    <col min="14344" max="14344" width="10.7265625" style="64" customWidth="1"/>
    <col min="14345" max="14345" width="9.453125" style="64" customWidth="1"/>
    <col min="14346" max="14346" width="22.453125" style="64" customWidth="1"/>
    <col min="14347" max="14347" width="12.1796875" style="64" customWidth="1"/>
    <col min="14348" max="14593" width="9.1796875" style="64"/>
    <col min="14594" max="14594" width="9.54296875" style="64" customWidth="1"/>
    <col min="14595" max="14595" width="5.1796875" style="64" customWidth="1"/>
    <col min="14596" max="14596" width="32.54296875" style="64" bestFit="1" customWidth="1"/>
    <col min="14597" max="14597" width="17.81640625" style="64" bestFit="1" customWidth="1"/>
    <col min="14598" max="14598" width="15.1796875" style="64" customWidth="1"/>
    <col min="14599" max="14599" width="5.54296875" style="64" customWidth="1"/>
    <col min="14600" max="14600" width="10.7265625" style="64" customWidth="1"/>
    <col min="14601" max="14601" width="9.453125" style="64" customWidth="1"/>
    <col min="14602" max="14602" width="22.453125" style="64" customWidth="1"/>
    <col min="14603" max="14603" width="12.1796875" style="64" customWidth="1"/>
    <col min="14604" max="14849" width="9.1796875" style="64"/>
    <col min="14850" max="14850" width="9.54296875" style="64" customWidth="1"/>
    <col min="14851" max="14851" width="5.1796875" style="64" customWidth="1"/>
    <col min="14852" max="14852" width="32.54296875" style="64" bestFit="1" customWidth="1"/>
    <col min="14853" max="14853" width="17.81640625" style="64" bestFit="1" customWidth="1"/>
    <col min="14854" max="14854" width="15.1796875" style="64" customWidth="1"/>
    <col min="14855" max="14855" width="5.54296875" style="64" customWidth="1"/>
    <col min="14856" max="14856" width="10.7265625" style="64" customWidth="1"/>
    <col min="14857" max="14857" width="9.453125" style="64" customWidth="1"/>
    <col min="14858" max="14858" width="22.453125" style="64" customWidth="1"/>
    <col min="14859" max="14859" width="12.1796875" style="64" customWidth="1"/>
    <col min="14860" max="15105" width="9.1796875" style="64"/>
    <col min="15106" max="15106" width="9.54296875" style="64" customWidth="1"/>
    <col min="15107" max="15107" width="5.1796875" style="64" customWidth="1"/>
    <col min="15108" max="15108" width="32.54296875" style="64" bestFit="1" customWidth="1"/>
    <col min="15109" max="15109" width="17.81640625" style="64" bestFit="1" customWidth="1"/>
    <col min="15110" max="15110" width="15.1796875" style="64" customWidth="1"/>
    <col min="15111" max="15111" width="5.54296875" style="64" customWidth="1"/>
    <col min="15112" max="15112" width="10.7265625" style="64" customWidth="1"/>
    <col min="15113" max="15113" width="9.453125" style="64" customWidth="1"/>
    <col min="15114" max="15114" width="22.453125" style="64" customWidth="1"/>
    <col min="15115" max="15115" width="12.1796875" style="64" customWidth="1"/>
    <col min="15116" max="15361" width="9.1796875" style="64"/>
    <col min="15362" max="15362" width="9.54296875" style="64" customWidth="1"/>
    <col min="15363" max="15363" width="5.1796875" style="64" customWidth="1"/>
    <col min="15364" max="15364" width="32.54296875" style="64" bestFit="1" customWidth="1"/>
    <col min="15365" max="15365" width="17.81640625" style="64" bestFit="1" customWidth="1"/>
    <col min="15366" max="15366" width="15.1796875" style="64" customWidth="1"/>
    <col min="15367" max="15367" width="5.54296875" style="64" customWidth="1"/>
    <col min="15368" max="15368" width="10.7265625" style="64" customWidth="1"/>
    <col min="15369" max="15369" width="9.453125" style="64" customWidth="1"/>
    <col min="15370" max="15370" width="22.453125" style="64" customWidth="1"/>
    <col min="15371" max="15371" width="12.1796875" style="64" customWidth="1"/>
    <col min="15372" max="15617" width="9.1796875" style="64"/>
    <col min="15618" max="15618" width="9.54296875" style="64" customWidth="1"/>
    <col min="15619" max="15619" width="5.1796875" style="64" customWidth="1"/>
    <col min="15620" max="15620" width="32.54296875" style="64" bestFit="1" customWidth="1"/>
    <col min="15621" max="15621" width="17.81640625" style="64" bestFit="1" customWidth="1"/>
    <col min="15622" max="15622" width="15.1796875" style="64" customWidth="1"/>
    <col min="15623" max="15623" width="5.54296875" style="64" customWidth="1"/>
    <col min="15624" max="15624" width="10.7265625" style="64" customWidth="1"/>
    <col min="15625" max="15625" width="9.453125" style="64" customWidth="1"/>
    <col min="15626" max="15626" width="22.453125" style="64" customWidth="1"/>
    <col min="15627" max="15627" width="12.1796875" style="64" customWidth="1"/>
    <col min="15628" max="15873" width="9.1796875" style="64"/>
    <col min="15874" max="15874" width="9.54296875" style="64" customWidth="1"/>
    <col min="15875" max="15875" width="5.1796875" style="64" customWidth="1"/>
    <col min="15876" max="15876" width="32.54296875" style="64" bestFit="1" customWidth="1"/>
    <col min="15877" max="15877" width="17.81640625" style="64" bestFit="1" customWidth="1"/>
    <col min="15878" max="15878" width="15.1796875" style="64" customWidth="1"/>
    <col min="15879" max="15879" width="5.54296875" style="64" customWidth="1"/>
    <col min="15880" max="15880" width="10.7265625" style="64" customWidth="1"/>
    <col min="15881" max="15881" width="9.453125" style="64" customWidth="1"/>
    <col min="15882" max="15882" width="22.453125" style="64" customWidth="1"/>
    <col min="15883" max="15883" width="12.1796875" style="64" customWidth="1"/>
    <col min="15884" max="16129" width="9.1796875" style="64"/>
    <col min="16130" max="16130" width="9.54296875" style="64" customWidth="1"/>
    <col min="16131" max="16131" width="5.1796875" style="64" customWidth="1"/>
    <col min="16132" max="16132" width="32.54296875" style="64" bestFit="1" customWidth="1"/>
    <col min="16133" max="16133" width="17.81640625" style="64" bestFit="1" customWidth="1"/>
    <col min="16134" max="16134" width="15.1796875" style="64" customWidth="1"/>
    <col min="16135" max="16135" width="5.54296875" style="64" customWidth="1"/>
    <col min="16136" max="16136" width="10.7265625" style="64" customWidth="1"/>
    <col min="16137" max="16137" width="9.453125" style="64" customWidth="1"/>
    <col min="16138" max="16138" width="22.453125" style="64" customWidth="1"/>
    <col min="16139" max="16139" width="12.1796875" style="64" customWidth="1"/>
    <col min="16140" max="16384" width="9.1796875" style="64"/>
  </cols>
  <sheetData>
    <row r="1" spans="1:11" x14ac:dyDescent="0.3">
      <c r="A1" s="100" t="s">
        <v>142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</row>
    <row r="2" spans="1:11" x14ac:dyDescent="0.3">
      <c r="A2" s="99" t="s">
        <v>16</v>
      </c>
      <c r="B2" s="101" t="s">
        <v>17</v>
      </c>
      <c r="C2" s="101" t="s">
        <v>9</v>
      </c>
      <c r="D2" s="99" t="s">
        <v>2</v>
      </c>
      <c r="E2" s="99" t="s">
        <v>18</v>
      </c>
      <c r="F2" s="99" t="s">
        <v>143</v>
      </c>
      <c r="G2" s="99" t="s">
        <v>12</v>
      </c>
      <c r="H2" s="99" t="s">
        <v>20</v>
      </c>
      <c r="I2" s="99" t="s">
        <v>144</v>
      </c>
      <c r="J2" s="99"/>
      <c r="K2" s="99" t="s">
        <v>145</v>
      </c>
    </row>
    <row r="3" spans="1:11" x14ac:dyDescent="0.3">
      <c r="A3" s="99"/>
      <c r="B3" s="101"/>
      <c r="C3" s="101"/>
      <c r="D3" s="99"/>
      <c r="E3" s="99"/>
      <c r="F3" s="99"/>
      <c r="G3" s="99"/>
      <c r="H3" s="99"/>
      <c r="I3" s="69" t="s">
        <v>146</v>
      </c>
      <c r="J3" s="69" t="s">
        <v>147</v>
      </c>
      <c r="K3" s="99"/>
    </row>
    <row r="4" spans="1:11" x14ac:dyDescent="0.3">
      <c r="A4" s="69"/>
      <c r="B4" s="70"/>
      <c r="C4" s="70"/>
      <c r="D4" s="69"/>
      <c r="E4" s="69"/>
      <c r="F4" s="69"/>
      <c r="G4" s="69"/>
      <c r="H4" s="69"/>
      <c r="I4" s="69"/>
      <c r="J4" s="69"/>
      <c r="K4" s="69"/>
    </row>
    <row r="5" spans="1:11" s="66" customFormat="1" x14ac:dyDescent="0.25">
      <c r="A5" s="28"/>
      <c r="B5" s="65"/>
      <c r="C5" s="65"/>
      <c r="D5" s="65"/>
      <c r="E5" s="65"/>
      <c r="F5" s="65"/>
      <c r="G5" s="65"/>
      <c r="H5" s="65"/>
      <c r="I5" s="71"/>
      <c r="J5" s="65"/>
      <c r="K5" s="71"/>
    </row>
    <row r="6" spans="1:11" s="66" customFormat="1" x14ac:dyDescent="0.25">
      <c r="A6" s="28">
        <v>1</v>
      </c>
      <c r="B6" s="16" t="s">
        <v>148</v>
      </c>
      <c r="C6" s="16" t="s">
        <v>83</v>
      </c>
      <c r="D6" s="16" t="s">
        <v>149</v>
      </c>
      <c r="E6" s="16" t="s">
        <v>150</v>
      </c>
      <c r="F6" s="16" t="s">
        <v>90</v>
      </c>
      <c r="G6" s="16">
        <v>5000</v>
      </c>
      <c r="H6" s="16">
        <v>230</v>
      </c>
      <c r="I6" s="71"/>
      <c r="J6" s="16" t="s">
        <v>151</v>
      </c>
      <c r="K6" s="71" t="s">
        <v>152</v>
      </c>
    </row>
    <row r="7" spans="1:11" s="66" customFormat="1" x14ac:dyDescent="0.25">
      <c r="A7" s="28">
        <v>2</v>
      </c>
      <c r="B7" s="16" t="s">
        <v>148</v>
      </c>
      <c r="C7" s="16" t="s">
        <v>83</v>
      </c>
      <c r="D7" s="16" t="s">
        <v>153</v>
      </c>
      <c r="E7" s="16" t="s">
        <v>154</v>
      </c>
      <c r="F7" s="16" t="s">
        <v>88</v>
      </c>
      <c r="G7" s="16">
        <v>40</v>
      </c>
      <c r="H7" s="16">
        <v>9</v>
      </c>
      <c r="I7" s="28"/>
      <c r="J7" s="16" t="s">
        <v>102</v>
      </c>
      <c r="K7" s="71"/>
    </row>
    <row r="8" spans="1:11" s="66" customFormat="1" x14ac:dyDescent="0.25">
      <c r="A8" s="28">
        <v>3</v>
      </c>
      <c r="B8" s="65" t="s">
        <v>148</v>
      </c>
      <c r="C8" s="16" t="s">
        <v>83</v>
      </c>
      <c r="D8" s="65" t="s">
        <v>155</v>
      </c>
      <c r="E8" s="65" t="s">
        <v>154</v>
      </c>
      <c r="F8" s="65" t="s">
        <v>90</v>
      </c>
      <c r="G8" s="65">
        <v>200</v>
      </c>
      <c r="H8" s="65">
        <v>8</v>
      </c>
      <c r="I8" s="71"/>
      <c r="J8" s="65" t="s">
        <v>102</v>
      </c>
      <c r="K8" s="71" t="s">
        <v>156</v>
      </c>
    </row>
    <row r="9" spans="1:11" s="66" customFormat="1" x14ac:dyDescent="0.25">
      <c r="A9" s="28">
        <v>4</v>
      </c>
      <c r="B9" s="65" t="s">
        <v>148</v>
      </c>
      <c r="C9" s="16" t="s">
        <v>83</v>
      </c>
      <c r="D9" s="65" t="s">
        <v>157</v>
      </c>
      <c r="E9" s="65" t="s">
        <v>154</v>
      </c>
      <c r="F9" s="65" t="s">
        <v>89</v>
      </c>
      <c r="G9" s="65">
        <v>400</v>
      </c>
      <c r="H9" s="65">
        <v>12</v>
      </c>
      <c r="I9" s="71"/>
      <c r="J9" s="65" t="s">
        <v>102</v>
      </c>
      <c r="K9" s="71"/>
    </row>
    <row r="10" spans="1:11" s="66" customFormat="1" x14ac:dyDescent="0.3">
      <c r="A10" s="28">
        <v>5</v>
      </c>
      <c r="B10" s="65" t="s">
        <v>148</v>
      </c>
      <c r="C10" s="67" t="s">
        <v>55</v>
      </c>
      <c r="D10" s="16" t="s">
        <v>158</v>
      </c>
      <c r="E10" s="16" t="s">
        <v>159</v>
      </c>
      <c r="F10" s="16" t="s">
        <v>160</v>
      </c>
      <c r="G10" s="16">
        <v>1000</v>
      </c>
      <c r="H10" s="16">
        <v>12</v>
      </c>
      <c r="I10" s="71"/>
      <c r="J10" s="65" t="s">
        <v>66</v>
      </c>
      <c r="K10" s="71"/>
    </row>
    <row r="11" spans="1:11" s="66" customFormat="1" x14ac:dyDescent="0.25">
      <c r="A11" s="28">
        <v>6</v>
      </c>
      <c r="B11" s="65" t="s">
        <v>148</v>
      </c>
      <c r="C11" s="65" t="s">
        <v>292</v>
      </c>
      <c r="D11" s="16" t="s">
        <v>161</v>
      </c>
      <c r="E11" s="16" t="s">
        <v>162</v>
      </c>
      <c r="F11" s="16" t="s">
        <v>163</v>
      </c>
      <c r="G11" s="16">
        <v>1200</v>
      </c>
      <c r="H11" s="16">
        <v>15</v>
      </c>
      <c r="I11" s="71"/>
      <c r="J11" s="16" t="s">
        <v>164</v>
      </c>
      <c r="K11" s="71"/>
    </row>
    <row r="12" spans="1:11" s="66" customFormat="1" x14ac:dyDescent="0.3">
      <c r="A12" s="28">
        <v>7</v>
      </c>
      <c r="B12" s="65" t="s">
        <v>148</v>
      </c>
      <c r="C12" s="67" t="s">
        <v>55</v>
      </c>
      <c r="D12" s="16" t="s">
        <v>165</v>
      </c>
      <c r="E12" s="16" t="s">
        <v>154</v>
      </c>
      <c r="F12" s="16" t="s">
        <v>166</v>
      </c>
      <c r="G12" s="16">
        <v>500</v>
      </c>
      <c r="H12" s="16">
        <v>19</v>
      </c>
      <c r="I12" s="71"/>
      <c r="J12" s="16" t="s">
        <v>167</v>
      </c>
      <c r="K12" s="71"/>
    </row>
    <row r="13" spans="1:11" s="66" customFormat="1" x14ac:dyDescent="0.25">
      <c r="A13" s="28">
        <v>8</v>
      </c>
      <c r="B13" s="65" t="s">
        <v>148</v>
      </c>
      <c r="C13" s="65" t="s">
        <v>292</v>
      </c>
      <c r="D13" s="65" t="s">
        <v>168</v>
      </c>
      <c r="E13" s="65" t="s">
        <v>154</v>
      </c>
      <c r="F13" s="65" t="s">
        <v>169</v>
      </c>
      <c r="G13" s="65">
        <v>300</v>
      </c>
      <c r="H13" s="65">
        <v>30</v>
      </c>
      <c r="I13" s="71"/>
      <c r="J13" s="65" t="s">
        <v>170</v>
      </c>
      <c r="K13" s="71"/>
    </row>
    <row r="14" spans="1:11" x14ac:dyDescent="0.3">
      <c r="A14" s="28">
        <v>9</v>
      </c>
      <c r="B14" s="65" t="s">
        <v>148</v>
      </c>
      <c r="C14" s="65" t="s">
        <v>292</v>
      </c>
      <c r="D14" s="65" t="s">
        <v>171</v>
      </c>
      <c r="E14" s="65" t="s">
        <v>154</v>
      </c>
      <c r="F14" s="65" t="s">
        <v>172</v>
      </c>
      <c r="G14" s="65">
        <v>300</v>
      </c>
      <c r="H14" s="65">
        <v>10</v>
      </c>
      <c r="I14" s="71"/>
      <c r="J14" s="65" t="s">
        <v>173</v>
      </c>
      <c r="K14" s="71"/>
    </row>
    <row r="15" spans="1:11" x14ac:dyDescent="0.3">
      <c r="A15" s="28">
        <v>10</v>
      </c>
      <c r="B15" s="65" t="s">
        <v>148</v>
      </c>
      <c r="C15" s="65" t="s">
        <v>292</v>
      </c>
      <c r="D15" s="65" t="s">
        <v>174</v>
      </c>
      <c r="E15" s="65" t="s">
        <v>175</v>
      </c>
      <c r="F15" s="65" t="s">
        <v>90</v>
      </c>
      <c r="G15" s="65">
        <v>300</v>
      </c>
      <c r="H15" s="65">
        <v>10</v>
      </c>
      <c r="I15" s="71"/>
      <c r="J15" s="65" t="s">
        <v>173</v>
      </c>
      <c r="K15" s="71"/>
    </row>
    <row r="16" spans="1:11" x14ac:dyDescent="0.3">
      <c r="A16" s="28">
        <v>11</v>
      </c>
      <c r="B16" s="16" t="s">
        <v>176</v>
      </c>
      <c r="C16" s="16" t="s">
        <v>83</v>
      </c>
      <c r="D16" s="16" t="s">
        <v>177</v>
      </c>
      <c r="E16" s="16" t="s">
        <v>154</v>
      </c>
      <c r="F16" s="16" t="s">
        <v>90</v>
      </c>
      <c r="G16" s="16">
        <v>200</v>
      </c>
      <c r="H16" s="16">
        <v>10</v>
      </c>
      <c r="J16" s="15" t="s">
        <v>65</v>
      </c>
      <c r="K16" s="71"/>
    </row>
    <row r="17" spans="1:11" x14ac:dyDescent="0.3">
      <c r="A17" s="28">
        <v>12</v>
      </c>
      <c r="B17" s="65" t="s">
        <v>178</v>
      </c>
      <c r="C17" s="65" t="s">
        <v>84</v>
      </c>
      <c r="D17" s="65" t="s">
        <v>179</v>
      </c>
      <c r="E17" s="65" t="s">
        <v>180</v>
      </c>
      <c r="F17" s="65" t="s">
        <v>90</v>
      </c>
      <c r="G17" s="65">
        <v>120</v>
      </c>
      <c r="H17" s="65">
        <v>5</v>
      </c>
      <c r="I17" s="71"/>
      <c r="J17" s="65" t="s">
        <v>181</v>
      </c>
      <c r="K17" s="71"/>
    </row>
    <row r="18" spans="1:11" x14ac:dyDescent="0.3">
      <c r="A18" s="28">
        <v>13</v>
      </c>
      <c r="B18" s="65" t="s">
        <v>178</v>
      </c>
      <c r="C18" s="65" t="s">
        <v>84</v>
      </c>
      <c r="D18" s="65" t="s">
        <v>182</v>
      </c>
      <c r="E18" s="65" t="s">
        <v>154</v>
      </c>
      <c r="F18" s="65" t="s">
        <v>183</v>
      </c>
      <c r="G18" s="65">
        <v>160</v>
      </c>
      <c r="H18" s="65">
        <v>10</v>
      </c>
      <c r="I18" s="71"/>
      <c r="J18" s="65" t="s">
        <v>105</v>
      </c>
      <c r="K18" s="71" t="s">
        <v>184</v>
      </c>
    </row>
    <row r="19" spans="1:11" x14ac:dyDescent="0.3">
      <c r="A19" s="28">
        <v>14</v>
      </c>
      <c r="B19" s="65" t="s">
        <v>178</v>
      </c>
      <c r="C19" s="65" t="s">
        <v>292</v>
      </c>
      <c r="D19" s="65" t="s">
        <v>185</v>
      </c>
      <c r="E19" s="65" t="s">
        <v>154</v>
      </c>
      <c r="F19" s="65" t="s">
        <v>75</v>
      </c>
      <c r="G19" s="65">
        <v>50</v>
      </c>
      <c r="H19" s="65">
        <v>10</v>
      </c>
      <c r="I19" s="71"/>
      <c r="J19" s="65" t="s">
        <v>173</v>
      </c>
      <c r="K19" s="71"/>
    </row>
    <row r="20" spans="1:11" x14ac:dyDescent="0.3">
      <c r="A20" s="28">
        <v>15</v>
      </c>
      <c r="B20" s="65" t="s">
        <v>178</v>
      </c>
      <c r="C20" s="65" t="s">
        <v>292</v>
      </c>
      <c r="D20" s="16" t="s">
        <v>186</v>
      </c>
      <c r="E20" s="65" t="s">
        <v>187</v>
      </c>
      <c r="F20" s="16" t="s">
        <v>188</v>
      </c>
      <c r="G20" s="16">
        <v>5000</v>
      </c>
      <c r="H20" s="16">
        <v>10</v>
      </c>
      <c r="I20" s="71"/>
      <c r="J20" s="65" t="s">
        <v>114</v>
      </c>
      <c r="K20" s="71"/>
    </row>
    <row r="21" spans="1:11" x14ac:dyDescent="0.3">
      <c r="A21" s="28">
        <v>16</v>
      </c>
      <c r="B21" s="65" t="s">
        <v>178</v>
      </c>
      <c r="C21" s="65" t="s">
        <v>292</v>
      </c>
      <c r="D21" s="16" t="s">
        <v>189</v>
      </c>
      <c r="E21" s="16" t="s">
        <v>190</v>
      </c>
      <c r="F21" s="16" t="s">
        <v>169</v>
      </c>
      <c r="G21" s="16">
        <v>1200</v>
      </c>
      <c r="H21" s="16">
        <v>18</v>
      </c>
      <c r="I21" s="71"/>
      <c r="J21" s="16" t="s">
        <v>170</v>
      </c>
      <c r="K21" s="71"/>
    </row>
    <row r="22" spans="1:11" x14ac:dyDescent="0.3">
      <c r="A22" s="28">
        <v>17</v>
      </c>
      <c r="B22" s="65" t="s">
        <v>178</v>
      </c>
      <c r="C22" s="67" t="s">
        <v>55</v>
      </c>
      <c r="D22" s="65" t="s">
        <v>191</v>
      </c>
      <c r="E22" s="65" t="s">
        <v>192</v>
      </c>
      <c r="F22" s="65" t="s">
        <v>90</v>
      </c>
      <c r="G22" s="65">
        <v>200</v>
      </c>
      <c r="H22" s="65">
        <v>5</v>
      </c>
      <c r="I22" s="71"/>
      <c r="J22" s="65" t="s">
        <v>193</v>
      </c>
      <c r="K22" s="71"/>
    </row>
    <row r="23" spans="1:11" x14ac:dyDescent="0.3">
      <c r="A23" s="28">
        <v>18</v>
      </c>
      <c r="B23" s="65" t="s">
        <v>178</v>
      </c>
      <c r="C23" s="67" t="s">
        <v>55</v>
      </c>
      <c r="D23" s="65" t="s">
        <v>155</v>
      </c>
      <c r="E23" s="65" t="s">
        <v>154</v>
      </c>
      <c r="F23" s="65" t="s">
        <v>90</v>
      </c>
      <c r="G23" s="65">
        <v>400</v>
      </c>
      <c r="H23" s="65">
        <v>14</v>
      </c>
      <c r="I23" s="71"/>
      <c r="J23" s="65" t="s">
        <v>194</v>
      </c>
      <c r="K23" s="71"/>
    </row>
    <row r="24" spans="1:11" x14ac:dyDescent="0.3">
      <c r="A24" s="28">
        <v>19</v>
      </c>
      <c r="B24" s="65" t="s">
        <v>195</v>
      </c>
      <c r="C24" s="16" t="s">
        <v>83</v>
      </c>
      <c r="D24" s="65" t="s">
        <v>196</v>
      </c>
      <c r="E24" s="65" t="s">
        <v>154</v>
      </c>
      <c r="F24" s="65" t="s">
        <v>90</v>
      </c>
      <c r="G24" s="65">
        <v>200</v>
      </c>
      <c r="H24" s="65">
        <v>10</v>
      </c>
      <c r="I24" s="71"/>
      <c r="J24" s="65" t="s">
        <v>102</v>
      </c>
      <c r="K24" s="71" t="s">
        <v>197</v>
      </c>
    </row>
    <row r="25" spans="1:11" x14ac:dyDescent="0.3">
      <c r="A25" s="28">
        <v>20</v>
      </c>
      <c r="B25" s="65" t="s">
        <v>195</v>
      </c>
      <c r="C25" s="16" t="s">
        <v>83</v>
      </c>
      <c r="D25" s="65" t="s">
        <v>155</v>
      </c>
      <c r="E25" s="65" t="s">
        <v>154</v>
      </c>
      <c r="F25" s="65" t="s">
        <v>90</v>
      </c>
      <c r="G25" s="65">
        <v>250</v>
      </c>
      <c r="H25" s="65">
        <v>10</v>
      </c>
      <c r="I25" s="71"/>
      <c r="J25" s="65" t="s">
        <v>102</v>
      </c>
      <c r="K25" s="71" t="s">
        <v>198</v>
      </c>
    </row>
    <row r="26" spans="1:11" x14ac:dyDescent="0.3">
      <c r="A26" s="28">
        <v>21</v>
      </c>
      <c r="B26" s="65" t="s">
        <v>195</v>
      </c>
      <c r="C26" s="16" t="s">
        <v>83</v>
      </c>
      <c r="D26" s="65" t="s">
        <v>155</v>
      </c>
      <c r="E26" s="65" t="s">
        <v>154</v>
      </c>
      <c r="F26" s="65" t="s">
        <v>90</v>
      </c>
      <c r="G26" s="65">
        <v>150</v>
      </c>
      <c r="H26" s="65">
        <v>5</v>
      </c>
      <c r="I26" s="71"/>
      <c r="J26" s="65" t="s">
        <v>102</v>
      </c>
      <c r="K26" s="71" t="s">
        <v>199</v>
      </c>
    </row>
    <row r="27" spans="1:11" x14ac:dyDescent="0.3">
      <c r="A27" s="28">
        <v>22</v>
      </c>
      <c r="B27" s="65" t="s">
        <v>195</v>
      </c>
      <c r="C27" s="16" t="s">
        <v>83</v>
      </c>
      <c r="D27" s="65" t="s">
        <v>155</v>
      </c>
      <c r="E27" s="65" t="s">
        <v>175</v>
      </c>
      <c r="F27" s="65" t="s">
        <v>90</v>
      </c>
      <c r="G27" s="65">
        <v>70</v>
      </c>
      <c r="H27" s="65">
        <v>5</v>
      </c>
      <c r="I27" s="71"/>
      <c r="J27" s="65" t="s">
        <v>200</v>
      </c>
      <c r="K27" s="71"/>
    </row>
    <row r="28" spans="1:11" x14ac:dyDescent="0.3">
      <c r="A28" s="28">
        <v>23</v>
      </c>
      <c r="B28" s="65" t="s">
        <v>195</v>
      </c>
      <c r="C28" s="65" t="s">
        <v>84</v>
      </c>
      <c r="D28" s="65" t="s">
        <v>201</v>
      </c>
      <c r="E28" s="65" t="s">
        <v>175</v>
      </c>
      <c r="F28" s="65" t="s">
        <v>90</v>
      </c>
      <c r="G28" s="65">
        <v>700</v>
      </c>
      <c r="H28" s="65">
        <v>29</v>
      </c>
      <c r="I28" s="71"/>
      <c r="J28" s="65" t="s">
        <v>181</v>
      </c>
      <c r="K28" s="71"/>
    </row>
    <row r="29" spans="1:11" x14ac:dyDescent="0.3">
      <c r="A29" s="28">
        <v>24</v>
      </c>
      <c r="B29" s="65" t="s">
        <v>195</v>
      </c>
      <c r="C29" s="65" t="s">
        <v>84</v>
      </c>
      <c r="D29" s="65" t="s">
        <v>202</v>
      </c>
      <c r="E29" s="65" t="s">
        <v>154</v>
      </c>
      <c r="F29" s="65" t="s">
        <v>75</v>
      </c>
      <c r="G29" s="65">
        <v>50</v>
      </c>
      <c r="H29" s="65">
        <v>5</v>
      </c>
      <c r="I29" s="71"/>
      <c r="J29" s="65" t="s">
        <v>66</v>
      </c>
      <c r="K29" s="71"/>
    </row>
    <row r="30" spans="1:11" x14ac:dyDescent="0.3">
      <c r="A30" s="28">
        <v>25</v>
      </c>
      <c r="B30" s="65" t="s">
        <v>195</v>
      </c>
      <c r="C30" s="67" t="s">
        <v>55</v>
      </c>
      <c r="D30" s="65" t="s">
        <v>203</v>
      </c>
      <c r="E30" s="65" t="s">
        <v>154</v>
      </c>
      <c r="F30" s="65" t="s">
        <v>166</v>
      </c>
      <c r="G30" s="65">
        <v>800</v>
      </c>
      <c r="H30" s="65">
        <v>50</v>
      </c>
      <c r="I30" s="71"/>
      <c r="J30" s="65" t="s">
        <v>167</v>
      </c>
      <c r="K30" s="71"/>
    </row>
    <row r="31" spans="1:11" x14ac:dyDescent="0.3">
      <c r="A31" s="28">
        <v>26</v>
      </c>
      <c r="B31" s="65" t="s">
        <v>195</v>
      </c>
      <c r="C31" s="67" t="s">
        <v>55</v>
      </c>
      <c r="D31" s="65" t="s">
        <v>204</v>
      </c>
      <c r="E31" s="65" t="s">
        <v>205</v>
      </c>
      <c r="F31" s="65" t="s">
        <v>90</v>
      </c>
      <c r="G31" s="65">
        <v>200</v>
      </c>
      <c r="H31" s="65">
        <v>5</v>
      </c>
      <c r="I31" s="71"/>
      <c r="J31" s="65" t="s">
        <v>194</v>
      </c>
      <c r="K31" s="71"/>
    </row>
    <row r="32" spans="1:11" x14ac:dyDescent="0.3">
      <c r="A32" s="28">
        <v>27</v>
      </c>
      <c r="B32" s="65" t="s">
        <v>195</v>
      </c>
      <c r="C32" s="67" t="s">
        <v>55</v>
      </c>
      <c r="D32" s="65" t="s">
        <v>206</v>
      </c>
      <c r="E32" s="65" t="s">
        <v>207</v>
      </c>
      <c r="F32" s="65" t="s">
        <v>90</v>
      </c>
      <c r="G32" s="65">
        <v>120</v>
      </c>
      <c r="H32" s="65">
        <v>6</v>
      </c>
      <c r="I32" s="71" t="s">
        <v>65</v>
      </c>
      <c r="J32" s="65"/>
      <c r="K32" s="71"/>
    </row>
    <row r="33" spans="1:11" x14ac:dyDescent="0.3">
      <c r="A33" s="28">
        <v>28</v>
      </c>
      <c r="B33" s="65" t="s">
        <v>195</v>
      </c>
      <c r="C33" s="67" t="s">
        <v>55</v>
      </c>
      <c r="D33" s="65" t="s">
        <v>208</v>
      </c>
      <c r="E33" s="65" t="s">
        <v>209</v>
      </c>
      <c r="F33" s="65" t="s">
        <v>90</v>
      </c>
      <c r="G33" s="65">
        <v>540</v>
      </c>
      <c r="H33" s="65">
        <v>20</v>
      </c>
      <c r="I33" s="71"/>
      <c r="J33" s="65" t="s">
        <v>210</v>
      </c>
      <c r="K33" s="71"/>
    </row>
    <row r="34" spans="1:11" x14ac:dyDescent="0.3">
      <c r="A34" s="28">
        <v>29</v>
      </c>
      <c r="B34" s="67" t="s">
        <v>211</v>
      </c>
      <c r="C34" s="67" t="s">
        <v>55</v>
      </c>
      <c r="D34" s="15" t="s">
        <v>155</v>
      </c>
      <c r="E34" s="65" t="s">
        <v>154</v>
      </c>
      <c r="F34" s="65" t="s">
        <v>90</v>
      </c>
      <c r="G34" s="15"/>
      <c r="H34" s="27">
        <v>20</v>
      </c>
      <c r="I34" s="15"/>
      <c r="J34" s="15" t="s">
        <v>212</v>
      </c>
      <c r="K34" s="15" t="s">
        <v>213</v>
      </c>
    </row>
    <row r="35" spans="1:11" x14ac:dyDescent="0.3">
      <c r="A35" s="28">
        <v>30</v>
      </c>
      <c r="B35" s="67" t="s">
        <v>211</v>
      </c>
      <c r="C35" s="67" t="s">
        <v>55</v>
      </c>
      <c r="D35" s="15" t="s">
        <v>214</v>
      </c>
      <c r="E35" s="65" t="s">
        <v>154</v>
      </c>
      <c r="F35" s="15" t="s">
        <v>215</v>
      </c>
      <c r="G35" s="15"/>
      <c r="H35" s="27">
        <v>7</v>
      </c>
      <c r="I35" s="15"/>
      <c r="J35" s="15" t="s">
        <v>216</v>
      </c>
      <c r="K35" s="15"/>
    </row>
    <row r="36" spans="1:11" x14ac:dyDescent="0.3">
      <c r="A36" s="28">
        <v>31</v>
      </c>
      <c r="B36" s="67" t="s">
        <v>211</v>
      </c>
      <c r="C36" s="67" t="s">
        <v>55</v>
      </c>
      <c r="D36" s="15" t="s">
        <v>217</v>
      </c>
      <c r="E36" s="65" t="s">
        <v>154</v>
      </c>
      <c r="F36" s="15" t="s">
        <v>90</v>
      </c>
      <c r="G36" s="15"/>
      <c r="H36" s="27">
        <v>30</v>
      </c>
      <c r="I36" s="15"/>
      <c r="J36" s="15" t="s">
        <v>218</v>
      </c>
      <c r="K36" s="15"/>
    </row>
    <row r="37" spans="1:11" x14ac:dyDescent="0.3">
      <c r="A37" s="28">
        <v>32</v>
      </c>
      <c r="B37" s="67" t="s">
        <v>211</v>
      </c>
      <c r="C37" s="16" t="s">
        <v>83</v>
      </c>
      <c r="D37" s="15" t="s">
        <v>128</v>
      </c>
      <c r="E37" s="15" t="s">
        <v>154</v>
      </c>
      <c r="F37" s="15" t="s">
        <v>219</v>
      </c>
      <c r="G37" s="15"/>
      <c r="H37" s="27">
        <v>40</v>
      </c>
      <c r="I37" s="15" t="s">
        <v>65</v>
      </c>
      <c r="J37" s="15"/>
      <c r="K37" s="15"/>
    </row>
    <row r="38" spans="1:11" x14ac:dyDescent="0.3">
      <c r="A38" s="28">
        <v>33</v>
      </c>
      <c r="B38" s="67" t="s">
        <v>211</v>
      </c>
      <c r="C38" s="65" t="s">
        <v>292</v>
      </c>
      <c r="D38" s="15" t="s">
        <v>161</v>
      </c>
      <c r="E38" s="15" t="s">
        <v>162</v>
      </c>
      <c r="F38" s="15" t="s">
        <v>215</v>
      </c>
      <c r="G38" s="15"/>
      <c r="H38" s="27">
        <v>4</v>
      </c>
      <c r="I38" s="15"/>
      <c r="J38" s="15" t="s">
        <v>164</v>
      </c>
      <c r="K38" s="15"/>
    </row>
    <row r="39" spans="1:11" x14ac:dyDescent="0.3">
      <c r="A39" s="28">
        <v>34</v>
      </c>
      <c r="B39" s="67" t="s">
        <v>211</v>
      </c>
      <c r="C39" s="65" t="s">
        <v>292</v>
      </c>
      <c r="D39" s="15" t="s">
        <v>168</v>
      </c>
      <c r="E39" s="15" t="s">
        <v>154</v>
      </c>
      <c r="F39" s="15" t="s">
        <v>75</v>
      </c>
      <c r="G39" s="15"/>
      <c r="H39" s="27">
        <v>6</v>
      </c>
      <c r="I39" s="15"/>
      <c r="J39" s="15" t="s">
        <v>170</v>
      </c>
      <c r="K39" s="15"/>
    </row>
    <row r="40" spans="1:11" x14ac:dyDescent="0.3">
      <c r="A40" s="28">
        <v>35</v>
      </c>
      <c r="B40" s="67" t="s">
        <v>211</v>
      </c>
      <c r="C40" s="16" t="s">
        <v>83</v>
      </c>
      <c r="D40" s="15" t="s">
        <v>220</v>
      </c>
      <c r="E40" s="15" t="s">
        <v>154</v>
      </c>
      <c r="F40" s="15" t="s">
        <v>169</v>
      </c>
      <c r="G40" s="15"/>
      <c r="H40" s="27">
        <v>5</v>
      </c>
      <c r="I40" s="15"/>
      <c r="J40" s="15" t="s">
        <v>102</v>
      </c>
      <c r="K40" s="15"/>
    </row>
    <row r="41" spans="1:11" x14ac:dyDescent="0.3">
      <c r="A41" s="28">
        <v>36</v>
      </c>
      <c r="B41" s="67" t="s">
        <v>211</v>
      </c>
      <c r="C41" s="65" t="s">
        <v>84</v>
      </c>
      <c r="D41" s="15" t="s">
        <v>221</v>
      </c>
      <c r="E41" s="15" t="s">
        <v>154</v>
      </c>
      <c r="F41" s="15" t="s">
        <v>160</v>
      </c>
      <c r="G41" s="15"/>
      <c r="H41" s="27">
        <v>10</v>
      </c>
      <c r="I41" s="15"/>
      <c r="J41" s="15" t="s">
        <v>222</v>
      </c>
      <c r="K41" s="15"/>
    </row>
    <row r="42" spans="1:11" x14ac:dyDescent="0.3">
      <c r="A42" s="28">
        <v>37</v>
      </c>
      <c r="B42" s="67" t="s">
        <v>223</v>
      </c>
      <c r="C42" s="65" t="s">
        <v>84</v>
      </c>
      <c r="D42" s="15" t="s">
        <v>224</v>
      </c>
      <c r="E42" s="15" t="s">
        <v>154</v>
      </c>
      <c r="F42" s="15" t="s">
        <v>225</v>
      </c>
      <c r="G42" s="15"/>
      <c r="H42" s="71">
        <v>6</v>
      </c>
      <c r="I42" s="15"/>
      <c r="J42" s="15" t="s">
        <v>170</v>
      </c>
      <c r="K42" s="15"/>
    </row>
    <row r="43" spans="1:11" x14ac:dyDescent="0.3">
      <c r="A43" s="28">
        <v>38</v>
      </c>
      <c r="B43" s="67" t="s">
        <v>223</v>
      </c>
      <c r="C43" s="65" t="s">
        <v>84</v>
      </c>
      <c r="D43" s="15" t="s">
        <v>226</v>
      </c>
      <c r="E43" s="15" t="s">
        <v>227</v>
      </c>
      <c r="F43" s="15" t="s">
        <v>90</v>
      </c>
      <c r="G43" s="15"/>
      <c r="H43" s="71">
        <v>40</v>
      </c>
      <c r="I43" s="15"/>
      <c r="J43" s="15" t="s">
        <v>228</v>
      </c>
      <c r="K43" s="15"/>
    </row>
    <row r="44" spans="1:11" x14ac:dyDescent="0.3">
      <c r="A44" s="28">
        <v>39</v>
      </c>
      <c r="B44" s="67" t="s">
        <v>223</v>
      </c>
      <c r="C44" s="65" t="s">
        <v>84</v>
      </c>
      <c r="D44" s="15" t="s">
        <v>229</v>
      </c>
      <c r="E44" s="15" t="s">
        <v>162</v>
      </c>
      <c r="F44" s="15" t="s">
        <v>88</v>
      </c>
      <c r="G44" s="15"/>
      <c r="H44" s="71">
        <v>22</v>
      </c>
      <c r="I44" s="15"/>
      <c r="J44" s="15" t="s">
        <v>164</v>
      </c>
      <c r="K44" s="15"/>
    </row>
    <row r="45" spans="1:11" x14ac:dyDescent="0.3">
      <c r="A45" s="28">
        <v>40</v>
      </c>
      <c r="B45" s="67" t="s">
        <v>223</v>
      </c>
      <c r="C45" s="16" t="s">
        <v>83</v>
      </c>
      <c r="D45" s="15" t="s">
        <v>230</v>
      </c>
      <c r="E45" s="15" t="s">
        <v>154</v>
      </c>
      <c r="F45" s="15" t="s">
        <v>231</v>
      </c>
      <c r="G45" s="15"/>
      <c r="H45" s="71">
        <v>5</v>
      </c>
      <c r="I45" s="15"/>
      <c r="J45" s="15" t="s">
        <v>102</v>
      </c>
      <c r="K45" s="15"/>
    </row>
    <row r="46" spans="1:11" x14ac:dyDescent="0.3">
      <c r="A46" s="28">
        <v>41</v>
      </c>
      <c r="B46" s="67" t="s">
        <v>223</v>
      </c>
      <c r="C46" s="67" t="s">
        <v>55</v>
      </c>
      <c r="D46" s="15" t="s">
        <v>203</v>
      </c>
      <c r="E46" s="15" t="s">
        <v>154</v>
      </c>
      <c r="F46" s="15" t="s">
        <v>90</v>
      </c>
      <c r="G46" s="15"/>
      <c r="H46" s="71">
        <v>5</v>
      </c>
      <c r="I46" s="15"/>
      <c r="J46" s="15" t="s">
        <v>232</v>
      </c>
      <c r="K46" s="15"/>
    </row>
    <row r="47" spans="1:11" x14ac:dyDescent="0.3">
      <c r="A47" s="28">
        <v>42</v>
      </c>
      <c r="B47" s="67" t="s">
        <v>223</v>
      </c>
      <c r="C47" s="16" t="s">
        <v>83</v>
      </c>
      <c r="D47" s="15" t="s">
        <v>155</v>
      </c>
      <c r="E47" s="15" t="s">
        <v>154</v>
      </c>
      <c r="F47" s="15" t="s">
        <v>87</v>
      </c>
      <c r="G47" s="15"/>
      <c r="H47" s="71">
        <v>8</v>
      </c>
      <c r="I47" s="15"/>
      <c r="J47" s="15" t="s">
        <v>233</v>
      </c>
      <c r="K47" s="15"/>
    </row>
    <row r="48" spans="1:11" x14ac:dyDescent="0.3">
      <c r="A48" s="28">
        <v>43</v>
      </c>
      <c r="B48" s="67" t="s">
        <v>234</v>
      </c>
      <c r="C48" s="16" t="s">
        <v>83</v>
      </c>
      <c r="D48" s="15" t="s">
        <v>177</v>
      </c>
      <c r="E48" s="15" t="s">
        <v>154</v>
      </c>
      <c r="F48" s="15" t="s">
        <v>90</v>
      </c>
      <c r="G48" s="15"/>
      <c r="H48" s="71">
        <v>2</v>
      </c>
      <c r="I48" s="15"/>
      <c r="J48" s="15" t="s">
        <v>65</v>
      </c>
      <c r="K48" s="15"/>
    </row>
    <row r="49" spans="1:11" x14ac:dyDescent="0.3">
      <c r="A49" s="28">
        <v>44</v>
      </c>
      <c r="B49" s="67" t="s">
        <v>234</v>
      </c>
      <c r="C49" s="16" t="s">
        <v>83</v>
      </c>
      <c r="D49" s="15" t="s">
        <v>153</v>
      </c>
      <c r="E49" s="15" t="s">
        <v>154</v>
      </c>
      <c r="F49" s="15" t="s">
        <v>235</v>
      </c>
      <c r="G49" s="15"/>
      <c r="H49" s="71">
        <v>14</v>
      </c>
      <c r="I49" s="15"/>
      <c r="J49" s="15" t="s">
        <v>236</v>
      </c>
      <c r="K49" s="15"/>
    </row>
    <row r="50" spans="1:11" x14ac:dyDescent="0.3">
      <c r="A50" s="28">
        <v>45</v>
      </c>
      <c r="B50" s="67" t="s">
        <v>234</v>
      </c>
      <c r="C50" s="16" t="s">
        <v>83</v>
      </c>
      <c r="D50" s="15" t="s">
        <v>237</v>
      </c>
      <c r="E50" s="15" t="s">
        <v>154</v>
      </c>
      <c r="F50" s="15" t="s">
        <v>90</v>
      </c>
      <c r="G50" s="15"/>
      <c r="H50" s="71">
        <v>4</v>
      </c>
      <c r="I50" s="15"/>
      <c r="J50" s="15" t="s">
        <v>236</v>
      </c>
      <c r="K50" s="15"/>
    </row>
    <row r="51" spans="1:11" x14ac:dyDescent="0.3">
      <c r="A51" s="28">
        <v>46</v>
      </c>
      <c r="B51" s="67" t="s">
        <v>234</v>
      </c>
      <c r="C51" s="16" t="s">
        <v>83</v>
      </c>
      <c r="D51" s="15" t="s">
        <v>238</v>
      </c>
      <c r="E51" s="15" t="s">
        <v>154</v>
      </c>
      <c r="F51" s="15" t="s">
        <v>90</v>
      </c>
      <c r="G51" s="15"/>
      <c r="H51" s="71">
        <v>42</v>
      </c>
      <c r="I51" s="15"/>
      <c r="J51" s="15" t="s">
        <v>236</v>
      </c>
      <c r="K51" s="15"/>
    </row>
    <row r="52" spans="1:11" x14ac:dyDescent="0.3">
      <c r="A52" s="28">
        <v>47</v>
      </c>
      <c r="B52" s="67" t="s">
        <v>239</v>
      </c>
      <c r="C52" s="67" t="s">
        <v>55</v>
      </c>
      <c r="D52" s="15" t="s">
        <v>240</v>
      </c>
      <c r="E52" s="15" t="s">
        <v>207</v>
      </c>
      <c r="F52" s="15" t="s">
        <v>241</v>
      </c>
      <c r="G52" s="15"/>
      <c r="H52" s="71">
        <v>10</v>
      </c>
      <c r="I52" s="15"/>
      <c r="J52" s="15" t="s">
        <v>242</v>
      </c>
      <c r="K52" s="15"/>
    </row>
    <row r="53" spans="1:11" x14ac:dyDescent="0.3">
      <c r="A53" s="28">
        <v>48</v>
      </c>
      <c r="B53" s="67" t="s">
        <v>239</v>
      </c>
      <c r="C53" s="67" t="s">
        <v>55</v>
      </c>
      <c r="D53" s="15" t="s">
        <v>165</v>
      </c>
      <c r="E53" s="15" t="s">
        <v>154</v>
      </c>
      <c r="F53" s="15" t="s">
        <v>90</v>
      </c>
      <c r="G53" s="15"/>
      <c r="H53" s="71">
        <v>8</v>
      </c>
      <c r="I53" s="15"/>
      <c r="J53" s="15" t="s">
        <v>232</v>
      </c>
      <c r="K53" s="15"/>
    </row>
    <row r="54" spans="1:11" x14ac:dyDescent="0.3">
      <c r="A54" s="28">
        <v>49</v>
      </c>
      <c r="B54" s="67" t="s">
        <v>239</v>
      </c>
      <c r="C54" s="67" t="s">
        <v>55</v>
      </c>
      <c r="D54" s="15" t="s">
        <v>243</v>
      </c>
      <c r="E54" s="15" t="s">
        <v>154</v>
      </c>
      <c r="F54" s="15" t="s">
        <v>90</v>
      </c>
      <c r="G54" s="15"/>
      <c r="H54" s="71">
        <v>3</v>
      </c>
      <c r="I54" s="15"/>
      <c r="J54" s="15" t="s">
        <v>232</v>
      </c>
      <c r="K54" s="15"/>
    </row>
    <row r="55" spans="1:11" x14ac:dyDescent="0.3">
      <c r="A55" s="28">
        <v>50</v>
      </c>
      <c r="B55" s="67" t="s">
        <v>318</v>
      </c>
      <c r="C55" s="67" t="s">
        <v>319</v>
      </c>
      <c r="D55" s="15" t="s">
        <v>161</v>
      </c>
      <c r="E55" s="15" t="s">
        <v>162</v>
      </c>
      <c r="F55" s="15" t="s">
        <v>90</v>
      </c>
      <c r="G55" s="15"/>
      <c r="H55" s="71">
        <v>25</v>
      </c>
      <c r="I55" s="15"/>
      <c r="J55" s="15" t="s">
        <v>164</v>
      </c>
      <c r="K55" s="15"/>
    </row>
    <row r="56" spans="1:11" x14ac:dyDescent="0.3">
      <c r="A56" s="28">
        <v>51</v>
      </c>
      <c r="B56" s="67" t="s">
        <v>318</v>
      </c>
      <c r="C56" s="67" t="s">
        <v>319</v>
      </c>
      <c r="D56" s="15" t="s">
        <v>320</v>
      </c>
      <c r="E56" s="15" t="s">
        <v>162</v>
      </c>
      <c r="F56" s="15" t="s">
        <v>88</v>
      </c>
      <c r="G56" s="15"/>
      <c r="H56" s="71">
        <v>8</v>
      </c>
      <c r="I56" s="15"/>
      <c r="J56" s="15" t="s">
        <v>114</v>
      </c>
      <c r="K56" s="15"/>
    </row>
    <row r="57" spans="1:11" x14ac:dyDescent="0.3">
      <c r="A57" s="28">
        <v>52</v>
      </c>
      <c r="B57" s="67" t="s">
        <v>318</v>
      </c>
      <c r="C57" s="67" t="s">
        <v>319</v>
      </c>
      <c r="D57" s="15" t="s">
        <v>322</v>
      </c>
      <c r="E57" s="15" t="s">
        <v>321</v>
      </c>
      <c r="F57" s="15" t="s">
        <v>88</v>
      </c>
      <c r="G57" s="15"/>
      <c r="H57" s="71">
        <v>5</v>
      </c>
      <c r="I57" s="15"/>
      <c r="J57" s="15" t="s">
        <v>228</v>
      </c>
      <c r="K57" s="15"/>
    </row>
    <row r="58" spans="1:11" x14ac:dyDescent="0.3">
      <c r="A58" s="28">
        <v>53</v>
      </c>
      <c r="B58" s="67" t="s">
        <v>267</v>
      </c>
      <c r="C58" s="67" t="s">
        <v>268</v>
      </c>
      <c r="D58" s="45" t="s">
        <v>113</v>
      </c>
      <c r="E58" s="15" t="s">
        <v>162</v>
      </c>
      <c r="F58" s="15" t="s">
        <v>75</v>
      </c>
      <c r="G58" s="15"/>
      <c r="H58" s="71">
        <v>10</v>
      </c>
      <c r="I58" s="15"/>
      <c r="J58" s="15" t="s">
        <v>77</v>
      </c>
      <c r="K58" s="15" t="s">
        <v>269</v>
      </c>
    </row>
    <row r="59" spans="1:11" x14ac:dyDescent="0.3">
      <c r="A59" s="28">
        <v>54</v>
      </c>
      <c r="B59" s="67" t="s">
        <v>267</v>
      </c>
      <c r="C59" s="16" t="s">
        <v>83</v>
      </c>
      <c r="D59" s="15" t="s">
        <v>276</v>
      </c>
      <c r="E59" s="15" t="s">
        <v>154</v>
      </c>
      <c r="F59" s="15" t="s">
        <v>241</v>
      </c>
      <c r="G59" s="15"/>
      <c r="H59" s="71">
        <v>7</v>
      </c>
      <c r="I59" s="15"/>
      <c r="J59" s="15" t="s">
        <v>277</v>
      </c>
      <c r="K59" s="15"/>
    </row>
    <row r="60" spans="1:11" x14ac:dyDescent="0.3">
      <c r="A60" s="28">
        <v>55</v>
      </c>
      <c r="B60" s="67" t="s">
        <v>267</v>
      </c>
      <c r="C60" s="16" t="s">
        <v>83</v>
      </c>
      <c r="D60" s="15" t="s">
        <v>278</v>
      </c>
      <c r="E60" s="15" t="s">
        <v>154</v>
      </c>
      <c r="F60" s="15" t="s">
        <v>241</v>
      </c>
      <c r="G60" s="15"/>
      <c r="H60" s="71">
        <v>6</v>
      </c>
      <c r="I60" s="15"/>
      <c r="J60" s="15" t="s">
        <v>277</v>
      </c>
      <c r="K60" s="15"/>
    </row>
    <row r="61" spans="1:11" x14ac:dyDescent="0.3">
      <c r="A61" s="28">
        <v>56</v>
      </c>
      <c r="B61" s="67" t="s">
        <v>267</v>
      </c>
      <c r="C61" s="16" t="s">
        <v>83</v>
      </c>
      <c r="D61" s="15" t="s">
        <v>279</v>
      </c>
      <c r="E61" s="15" t="s">
        <v>154</v>
      </c>
      <c r="F61" s="15" t="s">
        <v>90</v>
      </c>
      <c r="G61" s="15"/>
      <c r="H61" s="71">
        <v>9</v>
      </c>
      <c r="I61" s="15"/>
      <c r="J61" s="15" t="s">
        <v>277</v>
      </c>
      <c r="K61" s="15"/>
    </row>
    <row r="62" spans="1:11" x14ac:dyDescent="0.3">
      <c r="A62" s="28">
        <v>57</v>
      </c>
      <c r="B62" s="67" t="s">
        <v>267</v>
      </c>
      <c r="C62" s="16" t="s">
        <v>83</v>
      </c>
      <c r="D62" s="15" t="s">
        <v>280</v>
      </c>
      <c r="E62" s="15" t="s">
        <v>154</v>
      </c>
      <c r="F62" s="15" t="s">
        <v>88</v>
      </c>
      <c r="G62" s="15"/>
      <c r="H62" s="71">
        <v>5</v>
      </c>
      <c r="I62" s="15"/>
      <c r="J62" s="15" t="s">
        <v>277</v>
      </c>
      <c r="K62" s="15"/>
    </row>
    <row r="63" spans="1:11" x14ac:dyDescent="0.3">
      <c r="A63" s="28">
        <v>58</v>
      </c>
      <c r="B63" s="67" t="s">
        <v>267</v>
      </c>
      <c r="C63" s="16" t="s">
        <v>83</v>
      </c>
      <c r="D63" s="15" t="s">
        <v>177</v>
      </c>
      <c r="E63" s="15" t="s">
        <v>154</v>
      </c>
      <c r="F63" s="15" t="s">
        <v>281</v>
      </c>
      <c r="G63" s="15"/>
      <c r="H63" s="71">
        <v>5</v>
      </c>
      <c r="I63" s="15"/>
      <c r="J63" s="15" t="s">
        <v>65</v>
      </c>
      <c r="K63" s="15"/>
    </row>
    <row r="64" spans="1:11" x14ac:dyDescent="0.3">
      <c r="A64" s="28">
        <v>59</v>
      </c>
      <c r="B64" s="67" t="s">
        <v>267</v>
      </c>
      <c r="C64" s="67" t="s">
        <v>55</v>
      </c>
      <c r="D64" s="15" t="s">
        <v>214</v>
      </c>
      <c r="E64" s="15" t="s">
        <v>154</v>
      </c>
      <c r="F64" s="15" t="s">
        <v>215</v>
      </c>
      <c r="G64" s="15"/>
      <c r="H64" s="71">
        <v>6</v>
      </c>
      <c r="I64" s="15"/>
      <c r="J64" s="15" t="s">
        <v>232</v>
      </c>
      <c r="K64" s="15"/>
    </row>
    <row r="65" spans="1:11" x14ac:dyDescent="0.3">
      <c r="A65" s="28">
        <v>60</v>
      </c>
      <c r="B65" s="67" t="s">
        <v>270</v>
      </c>
      <c r="C65" s="67" t="s">
        <v>55</v>
      </c>
      <c r="D65" s="15" t="s">
        <v>288</v>
      </c>
      <c r="E65" s="15" t="s">
        <v>154</v>
      </c>
      <c r="F65" s="15" t="s">
        <v>215</v>
      </c>
      <c r="G65" s="15"/>
      <c r="H65" s="71">
        <v>12</v>
      </c>
      <c r="I65" s="15"/>
      <c r="J65" s="15" t="s">
        <v>64</v>
      </c>
      <c r="K65" s="15"/>
    </row>
    <row r="66" spans="1:11" x14ac:dyDescent="0.3">
      <c r="A66" s="28">
        <v>61</v>
      </c>
      <c r="B66" s="67" t="s">
        <v>270</v>
      </c>
      <c r="C66" s="67" t="s">
        <v>55</v>
      </c>
      <c r="D66" s="15" t="s">
        <v>289</v>
      </c>
      <c r="E66" s="15" t="s">
        <v>209</v>
      </c>
      <c r="F66" s="15" t="s">
        <v>215</v>
      </c>
      <c r="G66" s="15"/>
      <c r="H66" s="71">
        <v>5</v>
      </c>
      <c r="I66" s="15"/>
      <c r="J66" s="15" t="s">
        <v>64</v>
      </c>
      <c r="K66" s="15"/>
    </row>
    <row r="67" spans="1:11" x14ac:dyDescent="0.3">
      <c r="A67" s="28">
        <v>62</v>
      </c>
      <c r="B67" s="67" t="s">
        <v>270</v>
      </c>
      <c r="C67" s="67" t="s">
        <v>55</v>
      </c>
      <c r="D67" s="15" t="s">
        <v>290</v>
      </c>
      <c r="E67" s="15" t="s">
        <v>154</v>
      </c>
      <c r="F67" s="15" t="s">
        <v>215</v>
      </c>
      <c r="G67" s="15"/>
      <c r="H67" s="71">
        <v>16</v>
      </c>
      <c r="I67" s="15"/>
      <c r="J67" s="15" t="s">
        <v>290</v>
      </c>
      <c r="K67" s="15"/>
    </row>
    <row r="68" spans="1:11" x14ac:dyDescent="0.3">
      <c r="A68" s="28">
        <v>63</v>
      </c>
      <c r="B68" s="67" t="s">
        <v>270</v>
      </c>
      <c r="C68" s="67" t="s">
        <v>55</v>
      </c>
      <c r="D68" s="15" t="s">
        <v>165</v>
      </c>
      <c r="E68" s="15" t="s">
        <v>154</v>
      </c>
      <c r="F68" s="15" t="s">
        <v>291</v>
      </c>
      <c r="G68" s="15"/>
      <c r="H68" s="71">
        <v>12</v>
      </c>
      <c r="I68" s="15"/>
      <c r="J68" s="15" t="s">
        <v>232</v>
      </c>
      <c r="K68" s="15"/>
    </row>
    <row r="69" spans="1:11" x14ac:dyDescent="0.3">
      <c r="A69" s="28">
        <v>64</v>
      </c>
      <c r="B69" s="67" t="s">
        <v>270</v>
      </c>
      <c r="C69" s="67" t="s">
        <v>319</v>
      </c>
      <c r="D69" s="15" t="s">
        <v>325</v>
      </c>
      <c r="E69" s="15" t="s">
        <v>154</v>
      </c>
      <c r="F69" s="15" t="s">
        <v>291</v>
      </c>
      <c r="G69" s="15"/>
      <c r="H69" s="71">
        <v>15</v>
      </c>
      <c r="I69" s="15"/>
      <c r="J69" s="15" t="s">
        <v>222</v>
      </c>
      <c r="K69" s="15"/>
    </row>
    <row r="70" spans="1:11" x14ac:dyDescent="0.3">
      <c r="A70" s="28">
        <v>65</v>
      </c>
      <c r="B70" s="67" t="s">
        <v>270</v>
      </c>
      <c r="C70" s="67" t="s">
        <v>319</v>
      </c>
      <c r="D70" s="15" t="s">
        <v>171</v>
      </c>
      <c r="E70" s="15" t="s">
        <v>154</v>
      </c>
      <c r="F70" s="15" t="s">
        <v>215</v>
      </c>
      <c r="G70" s="15"/>
      <c r="H70" s="71">
        <v>5</v>
      </c>
      <c r="I70" s="15"/>
      <c r="J70" s="15" t="s">
        <v>222</v>
      </c>
      <c r="K70" s="15"/>
    </row>
    <row r="71" spans="1:11" x14ac:dyDescent="0.3">
      <c r="A71" s="28">
        <v>66</v>
      </c>
      <c r="B71" s="67" t="s">
        <v>270</v>
      </c>
      <c r="C71" s="67" t="s">
        <v>55</v>
      </c>
      <c r="D71" s="15" t="s">
        <v>165</v>
      </c>
      <c r="E71" s="15" t="s">
        <v>323</v>
      </c>
      <c r="F71" s="15" t="s">
        <v>90</v>
      </c>
      <c r="G71" s="15"/>
      <c r="H71" s="71">
        <v>10</v>
      </c>
      <c r="I71" s="15"/>
      <c r="J71" s="15" t="s">
        <v>324</v>
      </c>
      <c r="K71" s="15"/>
    </row>
    <row r="72" spans="1:11" x14ac:dyDescent="0.3">
      <c r="A72" s="28">
        <v>67</v>
      </c>
      <c r="B72" s="67" t="s">
        <v>270</v>
      </c>
      <c r="C72" s="67" t="s">
        <v>319</v>
      </c>
      <c r="D72" s="15" t="s">
        <v>326</v>
      </c>
      <c r="E72" s="15" t="s">
        <v>162</v>
      </c>
      <c r="F72" s="15" t="s">
        <v>215</v>
      </c>
      <c r="G72" s="15"/>
      <c r="H72" s="71">
        <v>5</v>
      </c>
      <c r="I72" s="15"/>
      <c r="J72" s="15" t="s">
        <v>164</v>
      </c>
      <c r="K72" s="15"/>
    </row>
    <row r="73" spans="1:11" x14ac:dyDescent="0.3">
      <c r="A73" s="28">
        <v>68</v>
      </c>
      <c r="B73" s="67" t="s">
        <v>360</v>
      </c>
      <c r="C73" s="67" t="s">
        <v>319</v>
      </c>
      <c r="D73" s="15" t="s">
        <v>125</v>
      </c>
      <c r="E73" s="15" t="s">
        <v>162</v>
      </c>
      <c r="F73" s="15" t="s">
        <v>215</v>
      </c>
      <c r="G73" s="15"/>
      <c r="H73" s="71">
        <v>8</v>
      </c>
      <c r="I73" s="15"/>
      <c r="J73" s="15" t="s">
        <v>77</v>
      </c>
      <c r="K73" s="15"/>
    </row>
    <row r="74" spans="1:11" x14ac:dyDescent="0.3">
      <c r="D74" s="72"/>
      <c r="E74" s="72"/>
      <c r="F74" s="72"/>
      <c r="G74" s="72"/>
      <c r="H74" s="73"/>
      <c r="I74" s="72"/>
      <c r="J74" s="72"/>
      <c r="K74" s="72"/>
    </row>
    <row r="75" spans="1:11" x14ac:dyDescent="0.3">
      <c r="D75" s="72"/>
      <c r="E75" s="72"/>
      <c r="F75" s="72"/>
      <c r="G75" s="72"/>
      <c r="H75" s="73"/>
      <c r="I75" s="72"/>
      <c r="J75" s="72"/>
      <c r="K75" s="72"/>
    </row>
    <row r="76" spans="1:11" x14ac:dyDescent="0.3">
      <c r="D76" s="72"/>
      <c r="E76" s="72"/>
      <c r="F76" s="72"/>
      <c r="G76" s="72"/>
      <c r="H76" s="73"/>
      <c r="I76" s="72"/>
      <c r="J76" s="72"/>
      <c r="K76" s="72"/>
    </row>
    <row r="77" spans="1:11" x14ac:dyDescent="0.3">
      <c r="D77" s="72"/>
      <c r="E77" s="72"/>
      <c r="F77" s="72"/>
      <c r="G77" s="72"/>
      <c r="H77" s="73"/>
      <c r="I77" s="72"/>
      <c r="J77" s="72"/>
      <c r="K77" s="72"/>
    </row>
    <row r="78" spans="1:11" x14ac:dyDescent="0.3">
      <c r="D78" s="72"/>
      <c r="E78" s="72"/>
      <c r="F78" s="72"/>
      <c r="G78" s="72"/>
      <c r="H78" s="73"/>
      <c r="I78" s="72"/>
      <c r="J78" s="72"/>
      <c r="K78" s="72"/>
    </row>
    <row r="79" spans="1:11" x14ac:dyDescent="0.3">
      <c r="D79" s="72"/>
      <c r="E79" s="72"/>
      <c r="F79" s="72"/>
      <c r="G79" s="72"/>
      <c r="H79" s="73"/>
      <c r="I79" s="72"/>
      <c r="J79" s="72"/>
      <c r="K79" s="72"/>
    </row>
    <row r="80" spans="1:11" x14ac:dyDescent="0.3">
      <c r="D80" s="72"/>
      <c r="E80" s="72"/>
      <c r="F80" s="72"/>
      <c r="G80" s="72"/>
      <c r="H80" s="73"/>
      <c r="I80" s="72"/>
      <c r="J80" s="72"/>
      <c r="K80" s="72"/>
    </row>
    <row r="81" spans="4:11" x14ac:dyDescent="0.3">
      <c r="D81" s="72"/>
      <c r="E81" s="72"/>
      <c r="F81" s="72"/>
      <c r="G81" s="72"/>
      <c r="H81" s="73"/>
      <c r="I81" s="72"/>
      <c r="J81" s="72"/>
      <c r="K81" s="72"/>
    </row>
    <row r="82" spans="4:11" x14ac:dyDescent="0.3">
      <c r="D82" s="72"/>
      <c r="E82" s="72"/>
      <c r="F82" s="72"/>
      <c r="G82" s="72"/>
      <c r="H82" s="73"/>
      <c r="I82" s="72"/>
      <c r="J82" s="72"/>
      <c r="K82" s="72"/>
    </row>
    <row r="83" spans="4:11" x14ac:dyDescent="0.3">
      <c r="D83" s="72"/>
      <c r="E83" s="72"/>
      <c r="F83" s="72"/>
      <c r="G83" s="72"/>
      <c r="H83" s="73"/>
      <c r="I83" s="72"/>
      <c r="J83" s="72"/>
      <c r="K83" s="72"/>
    </row>
    <row r="84" spans="4:11" x14ac:dyDescent="0.3">
      <c r="D84" s="72"/>
      <c r="E84" s="72"/>
      <c r="F84" s="72"/>
      <c r="G84" s="72"/>
      <c r="H84" s="73"/>
      <c r="I84" s="72"/>
      <c r="J84" s="72"/>
      <c r="K84" s="72"/>
    </row>
    <row r="85" spans="4:11" x14ac:dyDescent="0.3">
      <c r="D85" s="72"/>
      <c r="E85" s="72"/>
      <c r="F85" s="72"/>
      <c r="G85" s="72"/>
      <c r="H85" s="73"/>
      <c r="I85" s="72"/>
      <c r="J85" s="72"/>
      <c r="K85" s="72"/>
    </row>
    <row r="86" spans="4:11" x14ac:dyDescent="0.3">
      <c r="D86" s="72"/>
      <c r="E86" s="72"/>
      <c r="F86" s="72"/>
      <c r="G86" s="72"/>
      <c r="H86" s="73"/>
      <c r="I86" s="72"/>
      <c r="J86" s="72"/>
      <c r="K86" s="72"/>
    </row>
    <row r="87" spans="4:11" x14ac:dyDescent="0.3">
      <c r="D87" s="72"/>
      <c r="E87" s="72"/>
      <c r="F87" s="72"/>
      <c r="G87" s="72"/>
      <c r="H87" s="73"/>
      <c r="I87" s="72"/>
      <c r="J87" s="72"/>
      <c r="K87" s="72"/>
    </row>
    <row r="88" spans="4:11" x14ac:dyDescent="0.3">
      <c r="D88" s="72"/>
      <c r="E88" s="72"/>
      <c r="F88" s="72"/>
      <c r="G88" s="72"/>
      <c r="H88" s="73"/>
      <c r="I88" s="72"/>
      <c r="J88" s="72"/>
      <c r="K88" s="72"/>
    </row>
    <row r="89" spans="4:11" x14ac:dyDescent="0.3">
      <c r="D89" s="72"/>
      <c r="E89" s="72"/>
      <c r="F89" s="72"/>
      <c r="G89" s="72"/>
      <c r="H89" s="73"/>
      <c r="I89" s="72"/>
      <c r="J89" s="72"/>
      <c r="K89" s="72"/>
    </row>
    <row r="90" spans="4:11" x14ac:dyDescent="0.3">
      <c r="D90" s="72"/>
      <c r="E90" s="72"/>
      <c r="F90" s="72"/>
      <c r="G90" s="72"/>
      <c r="H90" s="73"/>
      <c r="I90" s="72"/>
      <c r="J90" s="72"/>
      <c r="K90" s="72"/>
    </row>
    <row r="91" spans="4:11" x14ac:dyDescent="0.3">
      <c r="D91" s="72"/>
      <c r="E91" s="72"/>
      <c r="F91" s="72"/>
      <c r="G91" s="72"/>
      <c r="H91" s="73"/>
      <c r="I91" s="72"/>
      <c r="J91" s="72"/>
      <c r="K91" s="72"/>
    </row>
    <row r="92" spans="4:11" x14ac:dyDescent="0.3">
      <c r="D92" s="72"/>
      <c r="E92" s="72"/>
      <c r="F92" s="72"/>
      <c r="G92" s="72"/>
      <c r="H92" s="73"/>
      <c r="I92" s="72"/>
      <c r="J92" s="72"/>
      <c r="K92" s="72"/>
    </row>
    <row r="93" spans="4:11" x14ac:dyDescent="0.3">
      <c r="D93" s="72"/>
      <c r="E93" s="72"/>
      <c r="F93" s="72"/>
      <c r="G93" s="72"/>
      <c r="H93" s="73"/>
      <c r="I93" s="72"/>
      <c r="J93" s="72"/>
      <c r="K93" s="72"/>
    </row>
    <row r="94" spans="4:11" x14ac:dyDescent="0.3">
      <c r="D94" s="72"/>
      <c r="E94" s="72"/>
      <c r="F94" s="72"/>
      <c r="G94" s="72"/>
      <c r="H94" s="73"/>
      <c r="I94" s="72"/>
      <c r="J94" s="72"/>
      <c r="K94" s="72"/>
    </row>
    <row r="95" spans="4:11" x14ac:dyDescent="0.3">
      <c r="D95" s="72"/>
      <c r="E95" s="72"/>
      <c r="F95" s="72"/>
      <c r="G95" s="72"/>
      <c r="H95" s="73"/>
      <c r="I95" s="72"/>
      <c r="J95" s="72"/>
      <c r="K95" s="72"/>
    </row>
    <row r="96" spans="4:11" x14ac:dyDescent="0.3">
      <c r="D96" s="72"/>
      <c r="E96" s="72"/>
      <c r="F96" s="72"/>
      <c r="G96" s="72"/>
      <c r="H96" s="73"/>
      <c r="I96" s="72"/>
      <c r="J96" s="72"/>
      <c r="K96" s="72"/>
    </row>
    <row r="97" spans="4:11" x14ac:dyDescent="0.3">
      <c r="D97" s="72"/>
      <c r="E97" s="72"/>
      <c r="F97" s="72"/>
      <c r="G97" s="72"/>
      <c r="H97" s="73"/>
      <c r="I97" s="72"/>
      <c r="J97" s="72"/>
      <c r="K97" s="72"/>
    </row>
    <row r="98" spans="4:11" x14ac:dyDescent="0.3">
      <c r="D98" s="72"/>
      <c r="E98" s="72"/>
      <c r="F98" s="72"/>
      <c r="G98" s="72"/>
      <c r="H98" s="73"/>
      <c r="I98" s="72"/>
      <c r="J98" s="72"/>
      <c r="K98" s="72"/>
    </row>
    <row r="99" spans="4:11" x14ac:dyDescent="0.3">
      <c r="D99" s="72"/>
      <c r="E99" s="72"/>
      <c r="F99" s="72"/>
      <c r="G99" s="72"/>
      <c r="H99" s="73"/>
      <c r="I99" s="72"/>
      <c r="J99" s="72"/>
      <c r="K99" s="72"/>
    </row>
    <row r="100" spans="4:11" x14ac:dyDescent="0.3">
      <c r="D100" s="72"/>
      <c r="E100" s="72"/>
      <c r="F100" s="72"/>
      <c r="G100" s="72"/>
      <c r="H100" s="73"/>
      <c r="I100" s="72"/>
      <c r="J100" s="72"/>
      <c r="K100" s="72"/>
    </row>
    <row r="101" spans="4:11" x14ac:dyDescent="0.3">
      <c r="D101" s="72"/>
      <c r="E101" s="72"/>
      <c r="F101" s="72"/>
      <c r="G101" s="72"/>
      <c r="H101" s="73"/>
      <c r="I101" s="72"/>
      <c r="J101" s="72"/>
      <c r="K101" s="72"/>
    </row>
    <row r="102" spans="4:11" x14ac:dyDescent="0.3">
      <c r="D102" s="72"/>
      <c r="E102" s="72"/>
      <c r="F102" s="72"/>
      <c r="G102" s="72"/>
      <c r="H102" s="73"/>
      <c r="I102" s="72"/>
      <c r="J102" s="72"/>
      <c r="K102" s="72"/>
    </row>
    <row r="103" spans="4:11" x14ac:dyDescent="0.3">
      <c r="D103" s="72"/>
      <c r="E103" s="72"/>
      <c r="F103" s="72"/>
      <c r="G103" s="72"/>
      <c r="H103" s="73"/>
      <c r="I103" s="72"/>
      <c r="J103" s="72"/>
      <c r="K103" s="72"/>
    </row>
    <row r="104" spans="4:11" x14ac:dyDescent="0.3">
      <c r="D104" s="72"/>
      <c r="E104" s="72"/>
      <c r="F104" s="72"/>
      <c r="G104" s="72"/>
      <c r="H104" s="73"/>
      <c r="I104" s="72"/>
      <c r="J104" s="72"/>
      <c r="K104" s="72"/>
    </row>
    <row r="105" spans="4:11" x14ac:dyDescent="0.3">
      <c r="D105" s="72"/>
      <c r="E105" s="72"/>
      <c r="F105" s="72"/>
      <c r="G105" s="72"/>
      <c r="H105" s="73"/>
      <c r="I105" s="72"/>
      <c r="J105" s="72"/>
      <c r="K105" s="72"/>
    </row>
    <row r="106" spans="4:11" x14ac:dyDescent="0.3">
      <c r="D106" s="72"/>
      <c r="E106" s="72"/>
      <c r="F106" s="72"/>
      <c r="G106" s="72"/>
      <c r="H106" s="73"/>
      <c r="I106" s="72"/>
      <c r="J106" s="72"/>
      <c r="K106" s="72"/>
    </row>
    <row r="107" spans="4:11" x14ac:dyDescent="0.3">
      <c r="D107" s="72"/>
      <c r="E107" s="72"/>
      <c r="F107" s="72"/>
      <c r="G107" s="72"/>
      <c r="H107" s="73"/>
      <c r="I107" s="72"/>
      <c r="J107" s="72"/>
      <c r="K107" s="72"/>
    </row>
    <row r="108" spans="4:11" x14ac:dyDescent="0.3">
      <c r="D108" s="72"/>
      <c r="E108" s="72"/>
      <c r="F108" s="72"/>
      <c r="G108" s="72"/>
      <c r="H108" s="73"/>
      <c r="I108" s="72"/>
      <c r="J108" s="72"/>
      <c r="K108" s="72"/>
    </row>
    <row r="109" spans="4:11" x14ac:dyDescent="0.3">
      <c r="D109" s="72"/>
      <c r="E109" s="72"/>
      <c r="F109" s="72"/>
      <c r="G109" s="72"/>
      <c r="H109" s="73"/>
      <c r="I109" s="72"/>
      <c r="J109" s="72"/>
      <c r="K109" s="72"/>
    </row>
    <row r="110" spans="4:11" x14ac:dyDescent="0.3">
      <c r="D110" s="72"/>
      <c r="E110" s="72"/>
      <c r="F110" s="72"/>
      <c r="G110" s="72"/>
      <c r="H110" s="73"/>
      <c r="I110" s="72"/>
      <c r="J110" s="72"/>
      <c r="K110" s="72"/>
    </row>
    <row r="111" spans="4:11" x14ac:dyDescent="0.3">
      <c r="D111" s="72"/>
      <c r="E111" s="72"/>
      <c r="F111" s="72"/>
      <c r="G111" s="72"/>
      <c r="H111" s="73"/>
      <c r="I111" s="72"/>
      <c r="J111" s="72"/>
      <c r="K111" s="72"/>
    </row>
    <row r="112" spans="4:11" x14ac:dyDescent="0.3">
      <c r="D112" s="72"/>
      <c r="E112" s="72"/>
      <c r="F112" s="72"/>
      <c r="G112" s="72"/>
      <c r="H112" s="73"/>
      <c r="I112" s="72"/>
      <c r="J112" s="72"/>
      <c r="K112" s="72"/>
    </row>
    <row r="113" spans="4:11" x14ac:dyDescent="0.3">
      <c r="D113" s="72"/>
      <c r="E113" s="72"/>
      <c r="F113" s="72"/>
      <c r="G113" s="72"/>
      <c r="H113" s="73"/>
      <c r="I113" s="72"/>
      <c r="J113" s="72"/>
      <c r="K113" s="72"/>
    </row>
    <row r="114" spans="4:11" x14ac:dyDescent="0.3">
      <c r="D114" s="72"/>
      <c r="E114" s="72"/>
      <c r="F114" s="72"/>
      <c r="G114" s="72"/>
      <c r="H114" s="73"/>
      <c r="I114" s="72"/>
      <c r="J114" s="72"/>
      <c r="K114" s="72"/>
    </row>
    <row r="115" spans="4:11" x14ac:dyDescent="0.3">
      <c r="D115" s="72"/>
      <c r="E115" s="72"/>
      <c r="F115" s="72"/>
      <c r="G115" s="72"/>
      <c r="H115" s="73"/>
      <c r="I115" s="72"/>
      <c r="J115" s="72"/>
      <c r="K115" s="72"/>
    </row>
    <row r="116" spans="4:11" x14ac:dyDescent="0.3">
      <c r="D116" s="72"/>
      <c r="E116" s="72"/>
      <c r="F116" s="72"/>
      <c r="G116" s="72"/>
      <c r="H116" s="73"/>
      <c r="I116" s="72"/>
      <c r="J116" s="72"/>
      <c r="K116" s="72"/>
    </row>
    <row r="117" spans="4:11" x14ac:dyDescent="0.3">
      <c r="D117" s="72"/>
      <c r="E117" s="72"/>
      <c r="F117" s="72"/>
      <c r="G117" s="72"/>
      <c r="H117" s="73"/>
      <c r="I117" s="72"/>
      <c r="J117" s="72"/>
      <c r="K117" s="72"/>
    </row>
    <row r="118" spans="4:11" x14ac:dyDescent="0.3">
      <c r="D118" s="72"/>
      <c r="E118" s="72"/>
      <c r="F118" s="72"/>
      <c r="G118" s="72"/>
      <c r="H118" s="73"/>
      <c r="I118" s="72"/>
      <c r="J118" s="72"/>
      <c r="K118" s="72"/>
    </row>
    <row r="119" spans="4:11" x14ac:dyDescent="0.3">
      <c r="D119" s="72"/>
      <c r="E119" s="72"/>
      <c r="F119" s="72"/>
      <c r="G119" s="72"/>
      <c r="H119" s="73"/>
      <c r="I119" s="72"/>
      <c r="J119" s="72"/>
      <c r="K119" s="72"/>
    </row>
    <row r="120" spans="4:11" x14ac:dyDescent="0.3">
      <c r="D120" s="72"/>
      <c r="E120" s="72"/>
      <c r="F120" s="72"/>
      <c r="G120" s="72"/>
      <c r="H120" s="73"/>
      <c r="I120" s="72"/>
      <c r="J120" s="72"/>
      <c r="K120" s="72"/>
    </row>
    <row r="121" spans="4:11" x14ac:dyDescent="0.3">
      <c r="D121" s="72"/>
      <c r="E121" s="72"/>
      <c r="F121" s="72"/>
      <c r="G121" s="72"/>
      <c r="H121" s="73"/>
      <c r="I121" s="72"/>
      <c r="J121" s="72"/>
      <c r="K121" s="72"/>
    </row>
    <row r="122" spans="4:11" x14ac:dyDescent="0.3">
      <c r="D122" s="72"/>
      <c r="E122" s="72"/>
      <c r="F122" s="72"/>
      <c r="G122" s="72"/>
      <c r="H122" s="73"/>
      <c r="I122" s="72"/>
      <c r="J122" s="72"/>
      <c r="K122" s="72"/>
    </row>
    <row r="123" spans="4:11" x14ac:dyDescent="0.3">
      <c r="D123" s="72"/>
      <c r="E123" s="72"/>
      <c r="F123" s="72"/>
      <c r="G123" s="72"/>
      <c r="H123" s="73"/>
      <c r="I123" s="72"/>
      <c r="J123" s="72"/>
      <c r="K123" s="72"/>
    </row>
    <row r="124" spans="4:11" x14ac:dyDescent="0.3">
      <c r="D124" s="72"/>
      <c r="E124" s="72"/>
      <c r="F124" s="72"/>
      <c r="G124" s="72"/>
      <c r="H124" s="73"/>
      <c r="I124" s="72"/>
      <c r="J124" s="72"/>
      <c r="K124" s="72"/>
    </row>
    <row r="125" spans="4:11" x14ac:dyDescent="0.3">
      <c r="D125" s="72"/>
      <c r="E125" s="72"/>
      <c r="F125" s="72"/>
      <c r="G125" s="72"/>
      <c r="H125" s="73"/>
      <c r="I125" s="72"/>
      <c r="J125" s="72"/>
      <c r="K125" s="72"/>
    </row>
    <row r="126" spans="4:11" x14ac:dyDescent="0.3">
      <c r="D126" s="72"/>
      <c r="E126" s="72"/>
      <c r="F126" s="72"/>
      <c r="G126" s="72"/>
      <c r="H126" s="73"/>
      <c r="I126" s="72"/>
      <c r="J126" s="72"/>
      <c r="K126" s="72"/>
    </row>
    <row r="127" spans="4:11" x14ac:dyDescent="0.3">
      <c r="D127" s="72"/>
      <c r="E127" s="72"/>
      <c r="F127" s="72"/>
      <c r="G127" s="72"/>
      <c r="H127" s="72"/>
      <c r="I127" s="72"/>
      <c r="J127" s="72"/>
      <c r="K127" s="72"/>
    </row>
    <row r="128" spans="4:11" x14ac:dyDescent="0.3">
      <c r="D128" s="72"/>
      <c r="E128" s="72"/>
      <c r="F128" s="72"/>
      <c r="G128" s="72"/>
      <c r="H128" s="72"/>
      <c r="I128" s="72"/>
      <c r="J128" s="72"/>
      <c r="K128" s="72"/>
    </row>
    <row r="129" spans="4:11" x14ac:dyDescent="0.3">
      <c r="D129" s="72"/>
      <c r="E129" s="72"/>
      <c r="F129" s="72"/>
      <c r="G129" s="72"/>
      <c r="H129" s="72"/>
      <c r="I129" s="72"/>
      <c r="J129" s="72"/>
      <c r="K129" s="72"/>
    </row>
    <row r="130" spans="4:11" x14ac:dyDescent="0.3">
      <c r="D130" s="72"/>
      <c r="E130" s="72"/>
      <c r="F130" s="72"/>
      <c r="G130" s="72"/>
      <c r="H130" s="72"/>
      <c r="I130" s="72"/>
      <c r="J130" s="72"/>
      <c r="K130" s="72"/>
    </row>
    <row r="131" spans="4:11" x14ac:dyDescent="0.3">
      <c r="D131" s="72"/>
      <c r="E131" s="72"/>
      <c r="F131" s="72"/>
      <c r="G131" s="72"/>
      <c r="H131" s="72"/>
      <c r="I131" s="72"/>
      <c r="J131" s="72"/>
      <c r="K131" s="72"/>
    </row>
    <row r="132" spans="4:11" x14ac:dyDescent="0.3">
      <c r="D132" s="72"/>
      <c r="E132" s="72"/>
      <c r="F132" s="72"/>
      <c r="G132" s="72"/>
      <c r="H132" s="72"/>
      <c r="I132" s="72"/>
      <c r="J132" s="72"/>
      <c r="K132" s="72"/>
    </row>
    <row r="133" spans="4:11" x14ac:dyDescent="0.3">
      <c r="D133" s="72"/>
      <c r="E133" s="72"/>
      <c r="F133" s="72"/>
      <c r="G133" s="72"/>
      <c r="H133" s="72"/>
      <c r="I133" s="72"/>
      <c r="J133" s="72"/>
      <c r="K133" s="72"/>
    </row>
    <row r="134" spans="4:11" x14ac:dyDescent="0.3">
      <c r="D134" s="72"/>
      <c r="E134" s="72"/>
      <c r="F134" s="72"/>
      <c r="G134" s="72"/>
      <c r="H134" s="72"/>
      <c r="I134" s="72"/>
      <c r="J134" s="72"/>
      <c r="K134" s="72"/>
    </row>
    <row r="135" spans="4:11" x14ac:dyDescent="0.3">
      <c r="D135" s="72"/>
      <c r="E135" s="72"/>
      <c r="F135" s="72"/>
      <c r="G135" s="72"/>
      <c r="H135" s="72"/>
      <c r="I135" s="72"/>
      <c r="J135" s="72"/>
      <c r="K135" s="72"/>
    </row>
    <row r="136" spans="4:11" x14ac:dyDescent="0.3">
      <c r="D136" s="72"/>
      <c r="E136" s="72"/>
      <c r="F136" s="72"/>
      <c r="G136" s="72"/>
      <c r="H136" s="72"/>
      <c r="I136" s="72"/>
      <c r="J136" s="72"/>
      <c r="K136" s="72"/>
    </row>
    <row r="137" spans="4:11" x14ac:dyDescent="0.3">
      <c r="D137" s="72"/>
      <c r="E137" s="72"/>
      <c r="F137" s="72"/>
      <c r="G137" s="72"/>
      <c r="H137" s="72"/>
      <c r="I137" s="72"/>
      <c r="J137" s="72"/>
      <c r="K137" s="72"/>
    </row>
    <row r="138" spans="4:11" x14ac:dyDescent="0.3">
      <c r="D138" s="72"/>
      <c r="E138" s="72"/>
      <c r="F138" s="72"/>
      <c r="G138" s="72"/>
      <c r="H138" s="72"/>
      <c r="I138" s="72"/>
      <c r="J138" s="72"/>
      <c r="K138" s="72"/>
    </row>
    <row r="139" spans="4:11" x14ac:dyDescent="0.3">
      <c r="D139" s="72"/>
      <c r="E139" s="72"/>
      <c r="F139" s="72"/>
      <c r="G139" s="72"/>
      <c r="H139" s="72"/>
      <c r="I139" s="72"/>
      <c r="J139" s="72"/>
      <c r="K139" s="72"/>
    </row>
    <row r="140" spans="4:11" x14ac:dyDescent="0.3">
      <c r="D140" s="72"/>
      <c r="E140" s="72"/>
      <c r="F140" s="72"/>
      <c r="G140" s="72"/>
      <c r="H140" s="72"/>
      <c r="I140" s="72"/>
      <c r="J140" s="72"/>
      <c r="K140" s="72"/>
    </row>
    <row r="141" spans="4:11" x14ac:dyDescent="0.3">
      <c r="D141" s="72"/>
      <c r="E141" s="72"/>
      <c r="F141" s="72"/>
      <c r="G141" s="72"/>
      <c r="H141" s="72"/>
      <c r="I141" s="72"/>
      <c r="J141" s="72"/>
      <c r="K141" s="72"/>
    </row>
    <row r="142" spans="4:11" x14ac:dyDescent="0.3">
      <c r="D142" s="72"/>
      <c r="E142" s="72"/>
      <c r="F142" s="72"/>
      <c r="G142" s="72"/>
      <c r="H142" s="72"/>
      <c r="I142" s="72"/>
      <c r="J142" s="72"/>
      <c r="K142" s="72"/>
    </row>
    <row r="143" spans="4:11" x14ac:dyDescent="0.3">
      <c r="D143" s="72"/>
      <c r="E143" s="72"/>
      <c r="F143" s="72"/>
      <c r="G143" s="72"/>
      <c r="H143" s="72"/>
      <c r="I143" s="72"/>
      <c r="J143" s="72"/>
      <c r="K143" s="72"/>
    </row>
    <row r="144" spans="4:11" x14ac:dyDescent="0.3">
      <c r="D144" s="72"/>
      <c r="E144" s="72"/>
      <c r="F144" s="72"/>
      <c r="G144" s="72"/>
      <c r="H144" s="72"/>
      <c r="I144" s="72"/>
      <c r="J144" s="72"/>
      <c r="K144" s="72"/>
    </row>
    <row r="145" spans="4:11" x14ac:dyDescent="0.3">
      <c r="D145" s="72"/>
      <c r="E145" s="72"/>
      <c r="F145" s="72"/>
      <c r="G145" s="72"/>
      <c r="H145" s="72"/>
      <c r="I145" s="72"/>
      <c r="J145" s="72"/>
      <c r="K145" s="72"/>
    </row>
    <row r="146" spans="4:11" x14ac:dyDescent="0.3">
      <c r="D146" s="72"/>
      <c r="E146" s="72"/>
      <c r="F146" s="72"/>
      <c r="G146" s="72"/>
      <c r="H146" s="72"/>
      <c r="I146" s="72"/>
      <c r="J146" s="72"/>
      <c r="K146" s="72"/>
    </row>
    <row r="147" spans="4:11" x14ac:dyDescent="0.3">
      <c r="D147" s="72"/>
      <c r="E147" s="72"/>
      <c r="F147" s="72"/>
      <c r="G147" s="72"/>
      <c r="H147" s="72"/>
      <c r="I147" s="72"/>
      <c r="J147" s="72"/>
      <c r="K147" s="72"/>
    </row>
    <row r="148" spans="4:11" x14ac:dyDescent="0.3">
      <c r="D148" s="72"/>
      <c r="E148" s="72"/>
      <c r="F148" s="72"/>
      <c r="G148" s="72"/>
      <c r="H148" s="72"/>
      <c r="I148" s="72"/>
      <c r="J148" s="72"/>
      <c r="K148" s="72"/>
    </row>
    <row r="149" spans="4:11" x14ac:dyDescent="0.3">
      <c r="D149" s="72"/>
      <c r="E149" s="72"/>
      <c r="F149" s="72"/>
      <c r="G149" s="72"/>
      <c r="H149" s="72"/>
      <c r="I149" s="72"/>
      <c r="J149" s="72"/>
      <c r="K149" s="72"/>
    </row>
    <row r="150" spans="4:11" x14ac:dyDescent="0.3">
      <c r="D150" s="72"/>
      <c r="E150" s="72"/>
      <c r="F150" s="72"/>
      <c r="G150" s="72"/>
      <c r="H150" s="72"/>
      <c r="I150" s="72"/>
      <c r="J150" s="72"/>
      <c r="K150" s="72"/>
    </row>
    <row r="151" spans="4:11" x14ac:dyDescent="0.3">
      <c r="D151" s="72"/>
      <c r="E151" s="72"/>
      <c r="F151" s="72"/>
      <c r="G151" s="72"/>
      <c r="H151" s="72"/>
      <c r="I151" s="72"/>
      <c r="J151" s="72"/>
      <c r="K151" s="72"/>
    </row>
    <row r="152" spans="4:11" x14ac:dyDescent="0.3">
      <c r="D152" s="72"/>
      <c r="E152" s="72"/>
      <c r="F152" s="72"/>
      <c r="G152" s="72"/>
      <c r="H152" s="72"/>
      <c r="I152" s="72"/>
      <c r="J152" s="72"/>
      <c r="K152" s="72"/>
    </row>
    <row r="153" spans="4:11" x14ac:dyDescent="0.3">
      <c r="D153" s="72"/>
      <c r="E153" s="72"/>
      <c r="F153" s="72"/>
      <c r="G153" s="72"/>
      <c r="H153" s="72"/>
      <c r="I153" s="72"/>
      <c r="J153" s="72"/>
      <c r="K153" s="72"/>
    </row>
    <row r="154" spans="4:11" x14ac:dyDescent="0.3">
      <c r="D154" s="72"/>
      <c r="E154" s="72"/>
      <c r="F154" s="72"/>
      <c r="G154" s="72"/>
      <c r="H154" s="72"/>
      <c r="I154" s="72"/>
      <c r="J154" s="72"/>
      <c r="K154" s="72"/>
    </row>
    <row r="155" spans="4:11" x14ac:dyDescent="0.3">
      <c r="D155" s="72"/>
      <c r="E155" s="72"/>
      <c r="F155" s="72"/>
      <c r="G155" s="72"/>
      <c r="H155" s="72"/>
      <c r="I155" s="72"/>
      <c r="J155" s="72"/>
      <c r="K155" s="72"/>
    </row>
    <row r="156" spans="4:11" x14ac:dyDescent="0.3">
      <c r="D156" s="72"/>
      <c r="E156" s="72"/>
      <c r="F156" s="72"/>
      <c r="G156" s="72"/>
      <c r="H156" s="72"/>
      <c r="I156" s="72"/>
      <c r="J156" s="72"/>
      <c r="K156" s="72"/>
    </row>
    <row r="157" spans="4:11" x14ac:dyDescent="0.3">
      <c r="D157" s="72"/>
      <c r="E157" s="72"/>
      <c r="F157" s="72"/>
      <c r="G157" s="72"/>
      <c r="H157" s="72"/>
      <c r="I157" s="72"/>
      <c r="J157" s="72"/>
      <c r="K157" s="72"/>
    </row>
    <row r="158" spans="4:11" x14ac:dyDescent="0.3">
      <c r="D158" s="72"/>
      <c r="E158" s="72"/>
      <c r="F158" s="72"/>
      <c r="G158" s="72"/>
      <c r="H158" s="72"/>
      <c r="I158" s="72"/>
      <c r="J158" s="72"/>
      <c r="K158" s="72"/>
    </row>
    <row r="159" spans="4:11" x14ac:dyDescent="0.3">
      <c r="D159" s="72"/>
      <c r="E159" s="72"/>
      <c r="F159" s="72"/>
      <c r="G159" s="72"/>
      <c r="H159" s="72"/>
      <c r="I159" s="72"/>
      <c r="J159" s="72"/>
      <c r="K159" s="74"/>
    </row>
    <row r="160" spans="4:11" x14ac:dyDescent="0.3">
      <c r="D160" s="72"/>
      <c r="E160" s="72"/>
      <c r="F160" s="72"/>
      <c r="G160" s="72"/>
      <c r="H160" s="72"/>
      <c r="I160" s="72"/>
      <c r="J160" s="72"/>
      <c r="K160" s="74"/>
    </row>
    <row r="161" spans="4:11" x14ac:dyDescent="0.3">
      <c r="D161" s="72"/>
      <c r="E161" s="72"/>
      <c r="F161" s="72"/>
      <c r="G161" s="72"/>
      <c r="H161" s="72"/>
      <c r="I161" s="72"/>
      <c r="J161" s="72"/>
      <c r="K161" s="74"/>
    </row>
    <row r="162" spans="4:11" x14ac:dyDescent="0.3">
      <c r="D162" s="72"/>
      <c r="E162" s="72"/>
      <c r="F162" s="72"/>
      <c r="G162" s="72"/>
      <c r="H162" s="72"/>
      <c r="I162" s="72"/>
      <c r="J162" s="72"/>
      <c r="K162" s="74"/>
    </row>
    <row r="163" spans="4:11" x14ac:dyDescent="0.3">
      <c r="D163" s="72"/>
      <c r="E163" s="72"/>
      <c r="F163" s="72"/>
      <c r="G163" s="72"/>
      <c r="H163" s="72"/>
      <c r="I163" s="72"/>
      <c r="J163" s="72"/>
      <c r="K163" s="74"/>
    </row>
    <row r="164" spans="4:11" x14ac:dyDescent="0.3">
      <c r="D164" s="72"/>
      <c r="E164" s="72"/>
      <c r="F164" s="72"/>
      <c r="G164" s="72"/>
      <c r="H164" s="72"/>
      <c r="I164" s="72"/>
      <c r="J164" s="72"/>
    </row>
    <row r="165" spans="4:11" x14ac:dyDescent="0.3">
      <c r="D165" s="72"/>
      <c r="E165" s="72"/>
      <c r="F165" s="72"/>
      <c r="G165" s="72"/>
      <c r="H165" s="72"/>
      <c r="I165" s="72"/>
      <c r="J165" s="72"/>
    </row>
    <row r="166" spans="4:11" x14ac:dyDescent="0.3">
      <c r="D166" s="72"/>
      <c r="E166" s="72"/>
      <c r="F166" s="72"/>
      <c r="G166" s="72"/>
      <c r="H166" s="72"/>
      <c r="I166" s="72"/>
      <c r="J166" s="72"/>
    </row>
    <row r="167" spans="4:11" x14ac:dyDescent="0.3">
      <c r="D167" s="72"/>
      <c r="E167" s="72"/>
      <c r="F167" s="72"/>
      <c r="G167" s="72"/>
      <c r="H167" s="72"/>
      <c r="I167" s="72"/>
      <c r="J167" s="72"/>
    </row>
    <row r="168" spans="4:11" x14ac:dyDescent="0.3">
      <c r="D168" s="72"/>
      <c r="E168" s="72"/>
      <c r="F168" s="72"/>
      <c r="G168" s="72"/>
      <c r="H168" s="72"/>
      <c r="I168" s="72"/>
      <c r="J168" s="72"/>
    </row>
    <row r="169" spans="4:11" x14ac:dyDescent="0.3">
      <c r="D169" s="72"/>
      <c r="E169" s="72"/>
      <c r="F169" s="72"/>
      <c r="G169" s="72"/>
      <c r="H169" s="72"/>
      <c r="I169" s="72"/>
      <c r="J169" s="72"/>
    </row>
    <row r="170" spans="4:11" x14ac:dyDescent="0.3">
      <c r="D170" s="72"/>
      <c r="E170" s="72"/>
      <c r="F170" s="72"/>
      <c r="G170" s="72"/>
      <c r="H170" s="72"/>
      <c r="I170" s="72"/>
      <c r="J170" s="72"/>
    </row>
    <row r="171" spans="4:11" x14ac:dyDescent="0.3">
      <c r="D171" s="72"/>
      <c r="E171" s="72"/>
      <c r="F171" s="72"/>
      <c r="G171" s="72"/>
      <c r="H171" s="72"/>
      <c r="I171" s="72"/>
      <c r="J171" s="72"/>
    </row>
    <row r="172" spans="4:11" x14ac:dyDescent="0.3">
      <c r="D172" s="72"/>
      <c r="E172" s="72"/>
      <c r="F172" s="72"/>
      <c r="G172" s="72"/>
      <c r="H172" s="72"/>
      <c r="I172" s="72"/>
      <c r="J172" s="72"/>
    </row>
    <row r="173" spans="4:11" x14ac:dyDescent="0.3">
      <c r="D173" s="72"/>
      <c r="E173" s="72"/>
      <c r="F173" s="72"/>
      <c r="G173" s="72"/>
      <c r="H173" s="72"/>
      <c r="I173" s="72"/>
      <c r="J173" s="72"/>
    </row>
    <row r="174" spans="4:11" x14ac:dyDescent="0.3">
      <c r="D174" s="72"/>
      <c r="E174" s="72"/>
      <c r="F174" s="72"/>
      <c r="G174" s="72"/>
      <c r="H174" s="72"/>
      <c r="I174" s="72"/>
      <c r="J174" s="72"/>
    </row>
    <row r="175" spans="4:11" x14ac:dyDescent="0.3">
      <c r="D175" s="72"/>
      <c r="E175" s="72"/>
      <c r="F175" s="72"/>
      <c r="G175" s="72"/>
      <c r="H175" s="72"/>
      <c r="I175" s="72"/>
      <c r="J175" s="72"/>
    </row>
    <row r="176" spans="4:11" x14ac:dyDescent="0.3">
      <c r="D176" s="72"/>
      <c r="E176" s="72"/>
      <c r="F176" s="72"/>
      <c r="G176" s="72"/>
      <c r="H176" s="72"/>
      <c r="I176" s="72"/>
      <c r="J176" s="72"/>
    </row>
    <row r="177" spans="4:10" x14ac:dyDescent="0.3">
      <c r="D177" s="72"/>
      <c r="E177" s="72"/>
      <c r="F177" s="72"/>
      <c r="G177" s="72"/>
      <c r="H177" s="72"/>
      <c r="I177" s="72"/>
      <c r="J177" s="72"/>
    </row>
    <row r="178" spans="4:10" x14ac:dyDescent="0.3">
      <c r="D178" s="72"/>
      <c r="E178" s="72"/>
      <c r="F178" s="72"/>
      <c r="G178" s="72"/>
      <c r="H178" s="72"/>
      <c r="I178" s="72"/>
      <c r="J178" s="72"/>
    </row>
    <row r="179" spans="4:10" x14ac:dyDescent="0.3">
      <c r="D179" s="72"/>
      <c r="E179" s="72"/>
      <c r="F179" s="72"/>
      <c r="G179" s="72"/>
      <c r="H179" s="72"/>
      <c r="I179" s="72"/>
      <c r="J179" s="72"/>
    </row>
  </sheetData>
  <autoFilter ref="A5:K68" xr:uid="{00000000-0009-0000-0000-000002000000}"/>
  <mergeCells count="11">
    <mergeCell ref="K2:K3"/>
    <mergeCell ref="A1:K1"/>
    <mergeCell ref="A2:A3"/>
    <mergeCell ref="B2:B3"/>
    <mergeCell ref="C2:C3"/>
    <mergeCell ref="D2:D3"/>
    <mergeCell ref="E2:E3"/>
    <mergeCell ref="F2:F3"/>
    <mergeCell ref="G2:G3"/>
    <mergeCell ref="H2:H3"/>
    <mergeCell ref="I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"/>
  <sheetViews>
    <sheetView workbookViewId="0">
      <selection activeCell="K15" sqref="K15"/>
    </sheetView>
  </sheetViews>
  <sheetFormatPr defaultRowHeight="13" x14ac:dyDescent="0.3"/>
  <cols>
    <col min="1" max="2" width="9.1796875" style="76"/>
    <col min="3" max="3" width="15" style="76" customWidth="1"/>
    <col min="4" max="4" width="19.1796875" style="76" bestFit="1" customWidth="1"/>
    <col min="5" max="6" width="13.1796875" style="76" customWidth="1"/>
    <col min="7" max="7" width="16.453125" style="76" customWidth="1"/>
    <col min="8" max="8" width="14" style="76" bestFit="1" customWidth="1"/>
    <col min="9" max="9" width="12.26953125" style="76" customWidth="1"/>
    <col min="10" max="10" width="13.54296875" style="76" customWidth="1"/>
    <col min="11" max="11" width="9.1796875" style="76"/>
    <col min="12" max="12" width="11.7265625" style="76" customWidth="1"/>
    <col min="13" max="13" width="34.54296875" style="76" customWidth="1"/>
    <col min="14" max="14" width="9.1796875" style="76"/>
    <col min="15" max="15" width="19" style="76" customWidth="1"/>
    <col min="16" max="16" width="9.1796875" style="76"/>
    <col min="17" max="17" width="15.7265625" style="76" customWidth="1"/>
    <col min="18" max="258" width="9.1796875" style="76"/>
    <col min="259" max="259" width="15" style="76" customWidth="1"/>
    <col min="260" max="260" width="19.1796875" style="76" bestFit="1" customWidth="1"/>
    <col min="261" max="262" width="13.1796875" style="76" customWidth="1"/>
    <col min="263" max="263" width="16.453125" style="76" customWidth="1"/>
    <col min="264" max="264" width="14" style="76" bestFit="1" customWidth="1"/>
    <col min="265" max="265" width="12.26953125" style="76" customWidth="1"/>
    <col min="266" max="266" width="13.54296875" style="76" customWidth="1"/>
    <col min="267" max="267" width="9.1796875" style="76"/>
    <col min="268" max="268" width="11.7265625" style="76" customWidth="1"/>
    <col min="269" max="269" width="34.54296875" style="76" customWidth="1"/>
    <col min="270" max="270" width="9.1796875" style="76"/>
    <col min="271" max="271" width="19" style="76" customWidth="1"/>
    <col min="272" max="272" width="9.1796875" style="76"/>
    <col min="273" max="273" width="15.7265625" style="76" customWidth="1"/>
    <col min="274" max="514" width="9.1796875" style="76"/>
    <col min="515" max="515" width="15" style="76" customWidth="1"/>
    <col min="516" max="516" width="19.1796875" style="76" bestFit="1" customWidth="1"/>
    <col min="517" max="518" width="13.1796875" style="76" customWidth="1"/>
    <col min="519" max="519" width="16.453125" style="76" customWidth="1"/>
    <col min="520" max="520" width="14" style="76" bestFit="1" customWidth="1"/>
    <col min="521" max="521" width="12.26953125" style="76" customWidth="1"/>
    <col min="522" max="522" width="13.54296875" style="76" customWidth="1"/>
    <col min="523" max="523" width="9.1796875" style="76"/>
    <col min="524" max="524" width="11.7265625" style="76" customWidth="1"/>
    <col min="525" max="525" width="34.54296875" style="76" customWidth="1"/>
    <col min="526" max="526" width="9.1796875" style="76"/>
    <col min="527" max="527" width="19" style="76" customWidth="1"/>
    <col min="528" max="528" width="9.1796875" style="76"/>
    <col min="529" max="529" width="15.7265625" style="76" customWidth="1"/>
    <col min="530" max="770" width="9.1796875" style="76"/>
    <col min="771" max="771" width="15" style="76" customWidth="1"/>
    <col min="772" max="772" width="19.1796875" style="76" bestFit="1" customWidth="1"/>
    <col min="773" max="774" width="13.1796875" style="76" customWidth="1"/>
    <col min="775" max="775" width="16.453125" style="76" customWidth="1"/>
    <col min="776" max="776" width="14" style="76" bestFit="1" customWidth="1"/>
    <col min="777" max="777" width="12.26953125" style="76" customWidth="1"/>
    <col min="778" max="778" width="13.54296875" style="76" customWidth="1"/>
    <col min="779" max="779" width="9.1796875" style="76"/>
    <col min="780" max="780" width="11.7265625" style="76" customWidth="1"/>
    <col min="781" max="781" width="34.54296875" style="76" customWidth="1"/>
    <col min="782" max="782" width="9.1796875" style="76"/>
    <col min="783" max="783" width="19" style="76" customWidth="1"/>
    <col min="784" max="784" width="9.1796875" style="76"/>
    <col min="785" max="785" width="15.7265625" style="76" customWidth="1"/>
    <col min="786" max="1026" width="9.1796875" style="76"/>
    <col min="1027" max="1027" width="15" style="76" customWidth="1"/>
    <col min="1028" max="1028" width="19.1796875" style="76" bestFit="1" customWidth="1"/>
    <col min="1029" max="1030" width="13.1796875" style="76" customWidth="1"/>
    <col min="1031" max="1031" width="16.453125" style="76" customWidth="1"/>
    <col min="1032" max="1032" width="14" style="76" bestFit="1" customWidth="1"/>
    <col min="1033" max="1033" width="12.26953125" style="76" customWidth="1"/>
    <col min="1034" max="1034" width="13.54296875" style="76" customWidth="1"/>
    <col min="1035" max="1035" width="9.1796875" style="76"/>
    <col min="1036" max="1036" width="11.7265625" style="76" customWidth="1"/>
    <col min="1037" max="1037" width="34.54296875" style="76" customWidth="1"/>
    <col min="1038" max="1038" width="9.1796875" style="76"/>
    <col min="1039" max="1039" width="19" style="76" customWidth="1"/>
    <col min="1040" max="1040" width="9.1796875" style="76"/>
    <col min="1041" max="1041" width="15.7265625" style="76" customWidth="1"/>
    <col min="1042" max="1282" width="9.1796875" style="76"/>
    <col min="1283" max="1283" width="15" style="76" customWidth="1"/>
    <col min="1284" max="1284" width="19.1796875" style="76" bestFit="1" customWidth="1"/>
    <col min="1285" max="1286" width="13.1796875" style="76" customWidth="1"/>
    <col min="1287" max="1287" width="16.453125" style="76" customWidth="1"/>
    <col min="1288" max="1288" width="14" style="76" bestFit="1" customWidth="1"/>
    <col min="1289" max="1289" width="12.26953125" style="76" customWidth="1"/>
    <col min="1290" max="1290" width="13.54296875" style="76" customWidth="1"/>
    <col min="1291" max="1291" width="9.1796875" style="76"/>
    <col min="1292" max="1292" width="11.7265625" style="76" customWidth="1"/>
    <col min="1293" max="1293" width="34.54296875" style="76" customWidth="1"/>
    <col min="1294" max="1294" width="9.1796875" style="76"/>
    <col min="1295" max="1295" width="19" style="76" customWidth="1"/>
    <col min="1296" max="1296" width="9.1796875" style="76"/>
    <col min="1297" max="1297" width="15.7265625" style="76" customWidth="1"/>
    <col min="1298" max="1538" width="9.1796875" style="76"/>
    <col min="1539" max="1539" width="15" style="76" customWidth="1"/>
    <col min="1540" max="1540" width="19.1796875" style="76" bestFit="1" customWidth="1"/>
    <col min="1541" max="1542" width="13.1796875" style="76" customWidth="1"/>
    <col min="1543" max="1543" width="16.453125" style="76" customWidth="1"/>
    <col min="1544" max="1544" width="14" style="76" bestFit="1" customWidth="1"/>
    <col min="1545" max="1545" width="12.26953125" style="76" customWidth="1"/>
    <col min="1546" max="1546" width="13.54296875" style="76" customWidth="1"/>
    <col min="1547" max="1547" width="9.1796875" style="76"/>
    <col min="1548" max="1548" width="11.7265625" style="76" customWidth="1"/>
    <col min="1549" max="1549" width="34.54296875" style="76" customWidth="1"/>
    <col min="1550" max="1550" width="9.1796875" style="76"/>
    <col min="1551" max="1551" width="19" style="76" customWidth="1"/>
    <col min="1552" max="1552" width="9.1796875" style="76"/>
    <col min="1553" max="1553" width="15.7265625" style="76" customWidth="1"/>
    <col min="1554" max="1794" width="9.1796875" style="76"/>
    <col min="1795" max="1795" width="15" style="76" customWidth="1"/>
    <col min="1796" max="1796" width="19.1796875" style="76" bestFit="1" customWidth="1"/>
    <col min="1797" max="1798" width="13.1796875" style="76" customWidth="1"/>
    <col min="1799" max="1799" width="16.453125" style="76" customWidth="1"/>
    <col min="1800" max="1800" width="14" style="76" bestFit="1" customWidth="1"/>
    <col min="1801" max="1801" width="12.26953125" style="76" customWidth="1"/>
    <col min="1802" max="1802" width="13.54296875" style="76" customWidth="1"/>
    <col min="1803" max="1803" width="9.1796875" style="76"/>
    <col min="1804" max="1804" width="11.7265625" style="76" customWidth="1"/>
    <col min="1805" max="1805" width="34.54296875" style="76" customWidth="1"/>
    <col min="1806" max="1806" width="9.1796875" style="76"/>
    <col min="1807" max="1807" width="19" style="76" customWidth="1"/>
    <col min="1808" max="1808" width="9.1796875" style="76"/>
    <col min="1809" max="1809" width="15.7265625" style="76" customWidth="1"/>
    <col min="1810" max="2050" width="9.1796875" style="76"/>
    <col min="2051" max="2051" width="15" style="76" customWidth="1"/>
    <col min="2052" max="2052" width="19.1796875" style="76" bestFit="1" customWidth="1"/>
    <col min="2053" max="2054" width="13.1796875" style="76" customWidth="1"/>
    <col min="2055" max="2055" width="16.453125" style="76" customWidth="1"/>
    <col min="2056" max="2056" width="14" style="76" bestFit="1" customWidth="1"/>
    <col min="2057" max="2057" width="12.26953125" style="76" customWidth="1"/>
    <col min="2058" max="2058" width="13.54296875" style="76" customWidth="1"/>
    <col min="2059" max="2059" width="9.1796875" style="76"/>
    <col min="2060" max="2060" width="11.7265625" style="76" customWidth="1"/>
    <col min="2061" max="2061" width="34.54296875" style="76" customWidth="1"/>
    <col min="2062" max="2062" width="9.1796875" style="76"/>
    <col min="2063" max="2063" width="19" style="76" customWidth="1"/>
    <col min="2064" max="2064" width="9.1796875" style="76"/>
    <col min="2065" max="2065" width="15.7265625" style="76" customWidth="1"/>
    <col min="2066" max="2306" width="9.1796875" style="76"/>
    <col min="2307" max="2307" width="15" style="76" customWidth="1"/>
    <col min="2308" max="2308" width="19.1796875" style="76" bestFit="1" customWidth="1"/>
    <col min="2309" max="2310" width="13.1796875" style="76" customWidth="1"/>
    <col min="2311" max="2311" width="16.453125" style="76" customWidth="1"/>
    <col min="2312" max="2312" width="14" style="76" bestFit="1" customWidth="1"/>
    <col min="2313" max="2313" width="12.26953125" style="76" customWidth="1"/>
    <col min="2314" max="2314" width="13.54296875" style="76" customWidth="1"/>
    <col min="2315" max="2315" width="9.1796875" style="76"/>
    <col min="2316" max="2316" width="11.7265625" style="76" customWidth="1"/>
    <col min="2317" max="2317" width="34.54296875" style="76" customWidth="1"/>
    <col min="2318" max="2318" width="9.1796875" style="76"/>
    <col min="2319" max="2319" width="19" style="76" customWidth="1"/>
    <col min="2320" max="2320" width="9.1796875" style="76"/>
    <col min="2321" max="2321" width="15.7265625" style="76" customWidth="1"/>
    <col min="2322" max="2562" width="9.1796875" style="76"/>
    <col min="2563" max="2563" width="15" style="76" customWidth="1"/>
    <col min="2564" max="2564" width="19.1796875" style="76" bestFit="1" customWidth="1"/>
    <col min="2565" max="2566" width="13.1796875" style="76" customWidth="1"/>
    <col min="2567" max="2567" width="16.453125" style="76" customWidth="1"/>
    <col min="2568" max="2568" width="14" style="76" bestFit="1" customWidth="1"/>
    <col min="2569" max="2569" width="12.26953125" style="76" customWidth="1"/>
    <col min="2570" max="2570" width="13.54296875" style="76" customWidth="1"/>
    <col min="2571" max="2571" width="9.1796875" style="76"/>
    <col min="2572" max="2572" width="11.7265625" style="76" customWidth="1"/>
    <col min="2573" max="2573" width="34.54296875" style="76" customWidth="1"/>
    <col min="2574" max="2574" width="9.1796875" style="76"/>
    <col min="2575" max="2575" width="19" style="76" customWidth="1"/>
    <col min="2576" max="2576" width="9.1796875" style="76"/>
    <col min="2577" max="2577" width="15.7265625" style="76" customWidth="1"/>
    <col min="2578" max="2818" width="9.1796875" style="76"/>
    <col min="2819" max="2819" width="15" style="76" customWidth="1"/>
    <col min="2820" max="2820" width="19.1796875" style="76" bestFit="1" customWidth="1"/>
    <col min="2821" max="2822" width="13.1796875" style="76" customWidth="1"/>
    <col min="2823" max="2823" width="16.453125" style="76" customWidth="1"/>
    <col min="2824" max="2824" width="14" style="76" bestFit="1" customWidth="1"/>
    <col min="2825" max="2825" width="12.26953125" style="76" customWidth="1"/>
    <col min="2826" max="2826" width="13.54296875" style="76" customWidth="1"/>
    <col min="2827" max="2827" width="9.1796875" style="76"/>
    <col min="2828" max="2828" width="11.7265625" style="76" customWidth="1"/>
    <col min="2829" max="2829" width="34.54296875" style="76" customWidth="1"/>
    <col min="2830" max="2830" width="9.1796875" style="76"/>
    <col min="2831" max="2831" width="19" style="76" customWidth="1"/>
    <col min="2832" max="2832" width="9.1796875" style="76"/>
    <col min="2833" max="2833" width="15.7265625" style="76" customWidth="1"/>
    <col min="2834" max="3074" width="9.1796875" style="76"/>
    <col min="3075" max="3075" width="15" style="76" customWidth="1"/>
    <col min="3076" max="3076" width="19.1796875" style="76" bestFit="1" customWidth="1"/>
    <col min="3077" max="3078" width="13.1796875" style="76" customWidth="1"/>
    <col min="3079" max="3079" width="16.453125" style="76" customWidth="1"/>
    <col min="3080" max="3080" width="14" style="76" bestFit="1" customWidth="1"/>
    <col min="3081" max="3081" width="12.26953125" style="76" customWidth="1"/>
    <col min="3082" max="3082" width="13.54296875" style="76" customWidth="1"/>
    <col min="3083" max="3083" width="9.1796875" style="76"/>
    <col min="3084" max="3084" width="11.7265625" style="76" customWidth="1"/>
    <col min="3085" max="3085" width="34.54296875" style="76" customWidth="1"/>
    <col min="3086" max="3086" width="9.1796875" style="76"/>
    <col min="3087" max="3087" width="19" style="76" customWidth="1"/>
    <col min="3088" max="3088" width="9.1796875" style="76"/>
    <col min="3089" max="3089" width="15.7265625" style="76" customWidth="1"/>
    <col min="3090" max="3330" width="9.1796875" style="76"/>
    <col min="3331" max="3331" width="15" style="76" customWidth="1"/>
    <col min="3332" max="3332" width="19.1796875" style="76" bestFit="1" customWidth="1"/>
    <col min="3333" max="3334" width="13.1796875" style="76" customWidth="1"/>
    <col min="3335" max="3335" width="16.453125" style="76" customWidth="1"/>
    <col min="3336" max="3336" width="14" style="76" bestFit="1" customWidth="1"/>
    <col min="3337" max="3337" width="12.26953125" style="76" customWidth="1"/>
    <col min="3338" max="3338" width="13.54296875" style="76" customWidth="1"/>
    <col min="3339" max="3339" width="9.1796875" style="76"/>
    <col min="3340" max="3340" width="11.7265625" style="76" customWidth="1"/>
    <col min="3341" max="3341" width="34.54296875" style="76" customWidth="1"/>
    <col min="3342" max="3342" width="9.1796875" style="76"/>
    <col min="3343" max="3343" width="19" style="76" customWidth="1"/>
    <col min="3344" max="3344" width="9.1796875" style="76"/>
    <col min="3345" max="3345" width="15.7265625" style="76" customWidth="1"/>
    <col min="3346" max="3586" width="9.1796875" style="76"/>
    <col min="3587" max="3587" width="15" style="76" customWidth="1"/>
    <col min="3588" max="3588" width="19.1796875" style="76" bestFit="1" customWidth="1"/>
    <col min="3589" max="3590" width="13.1796875" style="76" customWidth="1"/>
    <col min="3591" max="3591" width="16.453125" style="76" customWidth="1"/>
    <col min="3592" max="3592" width="14" style="76" bestFit="1" customWidth="1"/>
    <col min="3593" max="3593" width="12.26953125" style="76" customWidth="1"/>
    <col min="3594" max="3594" width="13.54296875" style="76" customWidth="1"/>
    <col min="3595" max="3595" width="9.1796875" style="76"/>
    <col min="3596" max="3596" width="11.7265625" style="76" customWidth="1"/>
    <col min="3597" max="3597" width="34.54296875" style="76" customWidth="1"/>
    <col min="3598" max="3598" width="9.1796875" style="76"/>
    <col min="3599" max="3599" width="19" style="76" customWidth="1"/>
    <col min="3600" max="3600" width="9.1796875" style="76"/>
    <col min="3601" max="3601" width="15.7265625" style="76" customWidth="1"/>
    <col min="3602" max="3842" width="9.1796875" style="76"/>
    <col min="3843" max="3843" width="15" style="76" customWidth="1"/>
    <col min="3844" max="3844" width="19.1796875" style="76" bestFit="1" customWidth="1"/>
    <col min="3845" max="3846" width="13.1796875" style="76" customWidth="1"/>
    <col min="3847" max="3847" width="16.453125" style="76" customWidth="1"/>
    <col min="3848" max="3848" width="14" style="76" bestFit="1" customWidth="1"/>
    <col min="3849" max="3849" width="12.26953125" style="76" customWidth="1"/>
    <col min="3850" max="3850" width="13.54296875" style="76" customWidth="1"/>
    <col min="3851" max="3851" width="9.1796875" style="76"/>
    <col min="3852" max="3852" width="11.7265625" style="76" customWidth="1"/>
    <col min="3853" max="3853" width="34.54296875" style="76" customWidth="1"/>
    <col min="3854" max="3854" width="9.1796875" style="76"/>
    <col min="3855" max="3855" width="19" style="76" customWidth="1"/>
    <col min="3856" max="3856" width="9.1796875" style="76"/>
    <col min="3857" max="3857" width="15.7265625" style="76" customWidth="1"/>
    <col min="3858" max="4098" width="9.1796875" style="76"/>
    <col min="4099" max="4099" width="15" style="76" customWidth="1"/>
    <col min="4100" max="4100" width="19.1796875" style="76" bestFit="1" customWidth="1"/>
    <col min="4101" max="4102" width="13.1796875" style="76" customWidth="1"/>
    <col min="4103" max="4103" width="16.453125" style="76" customWidth="1"/>
    <col min="4104" max="4104" width="14" style="76" bestFit="1" customWidth="1"/>
    <col min="4105" max="4105" width="12.26953125" style="76" customWidth="1"/>
    <col min="4106" max="4106" width="13.54296875" style="76" customWidth="1"/>
    <col min="4107" max="4107" width="9.1796875" style="76"/>
    <col min="4108" max="4108" width="11.7265625" style="76" customWidth="1"/>
    <col min="4109" max="4109" width="34.54296875" style="76" customWidth="1"/>
    <col min="4110" max="4110" width="9.1796875" style="76"/>
    <col min="4111" max="4111" width="19" style="76" customWidth="1"/>
    <col min="4112" max="4112" width="9.1796875" style="76"/>
    <col min="4113" max="4113" width="15.7265625" style="76" customWidth="1"/>
    <col min="4114" max="4354" width="9.1796875" style="76"/>
    <col min="4355" max="4355" width="15" style="76" customWidth="1"/>
    <col min="4356" max="4356" width="19.1796875" style="76" bestFit="1" customWidth="1"/>
    <col min="4357" max="4358" width="13.1796875" style="76" customWidth="1"/>
    <col min="4359" max="4359" width="16.453125" style="76" customWidth="1"/>
    <col min="4360" max="4360" width="14" style="76" bestFit="1" customWidth="1"/>
    <col min="4361" max="4361" width="12.26953125" style="76" customWidth="1"/>
    <col min="4362" max="4362" width="13.54296875" style="76" customWidth="1"/>
    <col min="4363" max="4363" width="9.1796875" style="76"/>
    <col min="4364" max="4364" width="11.7265625" style="76" customWidth="1"/>
    <col min="4365" max="4365" width="34.54296875" style="76" customWidth="1"/>
    <col min="4366" max="4366" width="9.1796875" style="76"/>
    <col min="4367" max="4367" width="19" style="76" customWidth="1"/>
    <col min="4368" max="4368" width="9.1796875" style="76"/>
    <col min="4369" max="4369" width="15.7265625" style="76" customWidth="1"/>
    <col min="4370" max="4610" width="9.1796875" style="76"/>
    <col min="4611" max="4611" width="15" style="76" customWidth="1"/>
    <col min="4612" max="4612" width="19.1796875" style="76" bestFit="1" customWidth="1"/>
    <col min="4613" max="4614" width="13.1796875" style="76" customWidth="1"/>
    <col min="4615" max="4615" width="16.453125" style="76" customWidth="1"/>
    <col min="4616" max="4616" width="14" style="76" bestFit="1" customWidth="1"/>
    <col min="4617" max="4617" width="12.26953125" style="76" customWidth="1"/>
    <col min="4618" max="4618" width="13.54296875" style="76" customWidth="1"/>
    <col min="4619" max="4619" width="9.1796875" style="76"/>
    <col min="4620" max="4620" width="11.7265625" style="76" customWidth="1"/>
    <col min="4621" max="4621" width="34.54296875" style="76" customWidth="1"/>
    <col min="4622" max="4622" width="9.1796875" style="76"/>
    <col min="4623" max="4623" width="19" style="76" customWidth="1"/>
    <col min="4624" max="4624" width="9.1796875" style="76"/>
    <col min="4625" max="4625" width="15.7265625" style="76" customWidth="1"/>
    <col min="4626" max="4866" width="9.1796875" style="76"/>
    <col min="4867" max="4867" width="15" style="76" customWidth="1"/>
    <col min="4868" max="4868" width="19.1796875" style="76" bestFit="1" customWidth="1"/>
    <col min="4869" max="4870" width="13.1796875" style="76" customWidth="1"/>
    <col min="4871" max="4871" width="16.453125" style="76" customWidth="1"/>
    <col min="4872" max="4872" width="14" style="76" bestFit="1" customWidth="1"/>
    <col min="4873" max="4873" width="12.26953125" style="76" customWidth="1"/>
    <col min="4874" max="4874" width="13.54296875" style="76" customWidth="1"/>
    <col min="4875" max="4875" width="9.1796875" style="76"/>
    <col min="4876" max="4876" width="11.7265625" style="76" customWidth="1"/>
    <col min="4877" max="4877" width="34.54296875" style="76" customWidth="1"/>
    <col min="4878" max="4878" width="9.1796875" style="76"/>
    <col min="4879" max="4879" width="19" style="76" customWidth="1"/>
    <col min="4880" max="4880" width="9.1796875" style="76"/>
    <col min="4881" max="4881" width="15.7265625" style="76" customWidth="1"/>
    <col min="4882" max="5122" width="9.1796875" style="76"/>
    <col min="5123" max="5123" width="15" style="76" customWidth="1"/>
    <col min="5124" max="5124" width="19.1796875" style="76" bestFit="1" customWidth="1"/>
    <col min="5125" max="5126" width="13.1796875" style="76" customWidth="1"/>
    <col min="5127" max="5127" width="16.453125" style="76" customWidth="1"/>
    <col min="5128" max="5128" width="14" style="76" bestFit="1" customWidth="1"/>
    <col min="5129" max="5129" width="12.26953125" style="76" customWidth="1"/>
    <col min="5130" max="5130" width="13.54296875" style="76" customWidth="1"/>
    <col min="5131" max="5131" width="9.1796875" style="76"/>
    <col min="5132" max="5132" width="11.7265625" style="76" customWidth="1"/>
    <col min="5133" max="5133" width="34.54296875" style="76" customWidth="1"/>
    <col min="5134" max="5134" width="9.1796875" style="76"/>
    <col min="5135" max="5135" width="19" style="76" customWidth="1"/>
    <col min="5136" max="5136" width="9.1796875" style="76"/>
    <col min="5137" max="5137" width="15.7265625" style="76" customWidth="1"/>
    <col min="5138" max="5378" width="9.1796875" style="76"/>
    <col min="5379" max="5379" width="15" style="76" customWidth="1"/>
    <col min="5380" max="5380" width="19.1796875" style="76" bestFit="1" customWidth="1"/>
    <col min="5381" max="5382" width="13.1796875" style="76" customWidth="1"/>
    <col min="5383" max="5383" width="16.453125" style="76" customWidth="1"/>
    <col min="5384" max="5384" width="14" style="76" bestFit="1" customWidth="1"/>
    <col min="5385" max="5385" width="12.26953125" style="76" customWidth="1"/>
    <col min="5386" max="5386" width="13.54296875" style="76" customWidth="1"/>
    <col min="5387" max="5387" width="9.1796875" style="76"/>
    <col min="5388" max="5388" width="11.7265625" style="76" customWidth="1"/>
    <col min="5389" max="5389" width="34.54296875" style="76" customWidth="1"/>
    <col min="5390" max="5390" width="9.1796875" style="76"/>
    <col min="5391" max="5391" width="19" style="76" customWidth="1"/>
    <col min="5392" max="5392" width="9.1796875" style="76"/>
    <col min="5393" max="5393" width="15.7265625" style="76" customWidth="1"/>
    <col min="5394" max="5634" width="9.1796875" style="76"/>
    <col min="5635" max="5635" width="15" style="76" customWidth="1"/>
    <col min="5636" max="5636" width="19.1796875" style="76" bestFit="1" customWidth="1"/>
    <col min="5637" max="5638" width="13.1796875" style="76" customWidth="1"/>
    <col min="5639" max="5639" width="16.453125" style="76" customWidth="1"/>
    <col min="5640" max="5640" width="14" style="76" bestFit="1" customWidth="1"/>
    <col min="5641" max="5641" width="12.26953125" style="76" customWidth="1"/>
    <col min="5642" max="5642" width="13.54296875" style="76" customWidth="1"/>
    <col min="5643" max="5643" width="9.1796875" style="76"/>
    <col min="5644" max="5644" width="11.7265625" style="76" customWidth="1"/>
    <col min="5645" max="5645" width="34.54296875" style="76" customWidth="1"/>
    <col min="5646" max="5646" width="9.1796875" style="76"/>
    <col min="5647" max="5647" width="19" style="76" customWidth="1"/>
    <col min="5648" max="5648" width="9.1796875" style="76"/>
    <col min="5649" max="5649" width="15.7265625" style="76" customWidth="1"/>
    <col min="5650" max="5890" width="9.1796875" style="76"/>
    <col min="5891" max="5891" width="15" style="76" customWidth="1"/>
    <col min="5892" max="5892" width="19.1796875" style="76" bestFit="1" customWidth="1"/>
    <col min="5893" max="5894" width="13.1796875" style="76" customWidth="1"/>
    <col min="5895" max="5895" width="16.453125" style="76" customWidth="1"/>
    <col min="5896" max="5896" width="14" style="76" bestFit="1" customWidth="1"/>
    <col min="5897" max="5897" width="12.26953125" style="76" customWidth="1"/>
    <col min="5898" max="5898" width="13.54296875" style="76" customWidth="1"/>
    <col min="5899" max="5899" width="9.1796875" style="76"/>
    <col min="5900" max="5900" width="11.7265625" style="76" customWidth="1"/>
    <col min="5901" max="5901" width="34.54296875" style="76" customWidth="1"/>
    <col min="5902" max="5902" width="9.1796875" style="76"/>
    <col min="5903" max="5903" width="19" style="76" customWidth="1"/>
    <col min="5904" max="5904" width="9.1796875" style="76"/>
    <col min="5905" max="5905" width="15.7265625" style="76" customWidth="1"/>
    <col min="5906" max="6146" width="9.1796875" style="76"/>
    <col min="6147" max="6147" width="15" style="76" customWidth="1"/>
    <col min="6148" max="6148" width="19.1796875" style="76" bestFit="1" customWidth="1"/>
    <col min="6149" max="6150" width="13.1796875" style="76" customWidth="1"/>
    <col min="6151" max="6151" width="16.453125" style="76" customWidth="1"/>
    <col min="6152" max="6152" width="14" style="76" bestFit="1" customWidth="1"/>
    <col min="6153" max="6153" width="12.26953125" style="76" customWidth="1"/>
    <col min="6154" max="6154" width="13.54296875" style="76" customWidth="1"/>
    <col min="6155" max="6155" width="9.1796875" style="76"/>
    <col min="6156" max="6156" width="11.7265625" style="76" customWidth="1"/>
    <col min="6157" max="6157" width="34.54296875" style="76" customWidth="1"/>
    <col min="6158" max="6158" width="9.1796875" style="76"/>
    <col min="6159" max="6159" width="19" style="76" customWidth="1"/>
    <col min="6160" max="6160" width="9.1796875" style="76"/>
    <col min="6161" max="6161" width="15.7265625" style="76" customWidth="1"/>
    <col min="6162" max="6402" width="9.1796875" style="76"/>
    <col min="6403" max="6403" width="15" style="76" customWidth="1"/>
    <col min="6404" max="6404" width="19.1796875" style="76" bestFit="1" customWidth="1"/>
    <col min="6405" max="6406" width="13.1796875" style="76" customWidth="1"/>
    <col min="6407" max="6407" width="16.453125" style="76" customWidth="1"/>
    <col min="6408" max="6408" width="14" style="76" bestFit="1" customWidth="1"/>
    <col min="6409" max="6409" width="12.26953125" style="76" customWidth="1"/>
    <col min="6410" max="6410" width="13.54296875" style="76" customWidth="1"/>
    <col min="6411" max="6411" width="9.1796875" style="76"/>
    <col min="6412" max="6412" width="11.7265625" style="76" customWidth="1"/>
    <col min="6413" max="6413" width="34.54296875" style="76" customWidth="1"/>
    <col min="6414" max="6414" width="9.1796875" style="76"/>
    <col min="6415" max="6415" width="19" style="76" customWidth="1"/>
    <col min="6416" max="6416" width="9.1796875" style="76"/>
    <col min="6417" max="6417" width="15.7265625" style="76" customWidth="1"/>
    <col min="6418" max="6658" width="9.1796875" style="76"/>
    <col min="6659" max="6659" width="15" style="76" customWidth="1"/>
    <col min="6660" max="6660" width="19.1796875" style="76" bestFit="1" customWidth="1"/>
    <col min="6661" max="6662" width="13.1796875" style="76" customWidth="1"/>
    <col min="6663" max="6663" width="16.453125" style="76" customWidth="1"/>
    <col min="6664" max="6664" width="14" style="76" bestFit="1" customWidth="1"/>
    <col min="6665" max="6665" width="12.26953125" style="76" customWidth="1"/>
    <col min="6666" max="6666" width="13.54296875" style="76" customWidth="1"/>
    <col min="6667" max="6667" width="9.1796875" style="76"/>
    <col min="6668" max="6668" width="11.7265625" style="76" customWidth="1"/>
    <col min="6669" max="6669" width="34.54296875" style="76" customWidth="1"/>
    <col min="6670" max="6670" width="9.1796875" style="76"/>
    <col min="6671" max="6671" width="19" style="76" customWidth="1"/>
    <col min="6672" max="6672" width="9.1796875" style="76"/>
    <col min="6673" max="6673" width="15.7265625" style="76" customWidth="1"/>
    <col min="6674" max="6914" width="9.1796875" style="76"/>
    <col min="6915" max="6915" width="15" style="76" customWidth="1"/>
    <col min="6916" max="6916" width="19.1796875" style="76" bestFit="1" customWidth="1"/>
    <col min="6917" max="6918" width="13.1796875" style="76" customWidth="1"/>
    <col min="6919" max="6919" width="16.453125" style="76" customWidth="1"/>
    <col min="6920" max="6920" width="14" style="76" bestFit="1" customWidth="1"/>
    <col min="6921" max="6921" width="12.26953125" style="76" customWidth="1"/>
    <col min="6922" max="6922" width="13.54296875" style="76" customWidth="1"/>
    <col min="6923" max="6923" width="9.1796875" style="76"/>
    <col min="6924" max="6924" width="11.7265625" style="76" customWidth="1"/>
    <col min="6925" max="6925" width="34.54296875" style="76" customWidth="1"/>
    <col min="6926" max="6926" width="9.1796875" style="76"/>
    <col min="6927" max="6927" width="19" style="76" customWidth="1"/>
    <col min="6928" max="6928" width="9.1796875" style="76"/>
    <col min="6929" max="6929" width="15.7265625" style="76" customWidth="1"/>
    <col min="6930" max="7170" width="9.1796875" style="76"/>
    <col min="7171" max="7171" width="15" style="76" customWidth="1"/>
    <col min="7172" max="7172" width="19.1796875" style="76" bestFit="1" customWidth="1"/>
    <col min="7173" max="7174" width="13.1796875" style="76" customWidth="1"/>
    <col min="7175" max="7175" width="16.453125" style="76" customWidth="1"/>
    <col min="7176" max="7176" width="14" style="76" bestFit="1" customWidth="1"/>
    <col min="7177" max="7177" width="12.26953125" style="76" customWidth="1"/>
    <col min="7178" max="7178" width="13.54296875" style="76" customWidth="1"/>
    <col min="7179" max="7179" width="9.1796875" style="76"/>
    <col min="7180" max="7180" width="11.7265625" style="76" customWidth="1"/>
    <col min="7181" max="7181" width="34.54296875" style="76" customWidth="1"/>
    <col min="7182" max="7182" width="9.1796875" style="76"/>
    <col min="7183" max="7183" width="19" style="76" customWidth="1"/>
    <col min="7184" max="7184" width="9.1796875" style="76"/>
    <col min="7185" max="7185" width="15.7265625" style="76" customWidth="1"/>
    <col min="7186" max="7426" width="9.1796875" style="76"/>
    <col min="7427" max="7427" width="15" style="76" customWidth="1"/>
    <col min="7428" max="7428" width="19.1796875" style="76" bestFit="1" customWidth="1"/>
    <col min="7429" max="7430" width="13.1796875" style="76" customWidth="1"/>
    <col min="7431" max="7431" width="16.453125" style="76" customWidth="1"/>
    <col min="7432" max="7432" width="14" style="76" bestFit="1" customWidth="1"/>
    <col min="7433" max="7433" width="12.26953125" style="76" customWidth="1"/>
    <col min="7434" max="7434" width="13.54296875" style="76" customWidth="1"/>
    <col min="7435" max="7435" width="9.1796875" style="76"/>
    <col min="7436" max="7436" width="11.7265625" style="76" customWidth="1"/>
    <col min="7437" max="7437" width="34.54296875" style="76" customWidth="1"/>
    <col min="7438" max="7438" width="9.1796875" style="76"/>
    <col min="7439" max="7439" width="19" style="76" customWidth="1"/>
    <col min="7440" max="7440" width="9.1796875" style="76"/>
    <col min="7441" max="7441" width="15.7265625" style="76" customWidth="1"/>
    <col min="7442" max="7682" width="9.1796875" style="76"/>
    <col min="7683" max="7683" width="15" style="76" customWidth="1"/>
    <col min="7684" max="7684" width="19.1796875" style="76" bestFit="1" customWidth="1"/>
    <col min="7685" max="7686" width="13.1796875" style="76" customWidth="1"/>
    <col min="7687" max="7687" width="16.453125" style="76" customWidth="1"/>
    <col min="7688" max="7688" width="14" style="76" bestFit="1" customWidth="1"/>
    <col min="7689" max="7689" width="12.26953125" style="76" customWidth="1"/>
    <col min="7690" max="7690" width="13.54296875" style="76" customWidth="1"/>
    <col min="7691" max="7691" width="9.1796875" style="76"/>
    <col min="7692" max="7692" width="11.7265625" style="76" customWidth="1"/>
    <col min="7693" max="7693" width="34.54296875" style="76" customWidth="1"/>
    <col min="7694" max="7694" width="9.1796875" style="76"/>
    <col min="7695" max="7695" width="19" style="76" customWidth="1"/>
    <col min="7696" max="7696" width="9.1796875" style="76"/>
    <col min="7697" max="7697" width="15.7265625" style="76" customWidth="1"/>
    <col min="7698" max="7938" width="9.1796875" style="76"/>
    <col min="7939" max="7939" width="15" style="76" customWidth="1"/>
    <col min="7940" max="7940" width="19.1796875" style="76" bestFit="1" customWidth="1"/>
    <col min="7941" max="7942" width="13.1796875" style="76" customWidth="1"/>
    <col min="7943" max="7943" width="16.453125" style="76" customWidth="1"/>
    <col min="7944" max="7944" width="14" style="76" bestFit="1" customWidth="1"/>
    <col min="7945" max="7945" width="12.26953125" style="76" customWidth="1"/>
    <col min="7946" max="7946" width="13.54296875" style="76" customWidth="1"/>
    <col min="7947" max="7947" width="9.1796875" style="76"/>
    <col min="7948" max="7948" width="11.7265625" style="76" customWidth="1"/>
    <col min="7949" max="7949" width="34.54296875" style="76" customWidth="1"/>
    <col min="7950" max="7950" width="9.1796875" style="76"/>
    <col min="7951" max="7951" width="19" style="76" customWidth="1"/>
    <col min="7952" max="7952" width="9.1796875" style="76"/>
    <col min="7953" max="7953" width="15.7265625" style="76" customWidth="1"/>
    <col min="7954" max="8194" width="9.1796875" style="76"/>
    <col min="8195" max="8195" width="15" style="76" customWidth="1"/>
    <col min="8196" max="8196" width="19.1796875" style="76" bestFit="1" customWidth="1"/>
    <col min="8197" max="8198" width="13.1796875" style="76" customWidth="1"/>
    <col min="8199" max="8199" width="16.453125" style="76" customWidth="1"/>
    <col min="8200" max="8200" width="14" style="76" bestFit="1" customWidth="1"/>
    <col min="8201" max="8201" width="12.26953125" style="76" customWidth="1"/>
    <col min="8202" max="8202" width="13.54296875" style="76" customWidth="1"/>
    <col min="8203" max="8203" width="9.1796875" style="76"/>
    <col min="8204" max="8204" width="11.7265625" style="76" customWidth="1"/>
    <col min="8205" max="8205" width="34.54296875" style="76" customWidth="1"/>
    <col min="8206" max="8206" width="9.1796875" style="76"/>
    <col min="8207" max="8207" width="19" style="76" customWidth="1"/>
    <col min="8208" max="8208" width="9.1796875" style="76"/>
    <col min="8209" max="8209" width="15.7265625" style="76" customWidth="1"/>
    <col min="8210" max="8450" width="9.1796875" style="76"/>
    <col min="8451" max="8451" width="15" style="76" customWidth="1"/>
    <col min="8452" max="8452" width="19.1796875" style="76" bestFit="1" customWidth="1"/>
    <col min="8453" max="8454" width="13.1796875" style="76" customWidth="1"/>
    <col min="8455" max="8455" width="16.453125" style="76" customWidth="1"/>
    <col min="8456" max="8456" width="14" style="76" bestFit="1" customWidth="1"/>
    <col min="8457" max="8457" width="12.26953125" style="76" customWidth="1"/>
    <col min="8458" max="8458" width="13.54296875" style="76" customWidth="1"/>
    <col min="8459" max="8459" width="9.1796875" style="76"/>
    <col min="8460" max="8460" width="11.7265625" style="76" customWidth="1"/>
    <col min="8461" max="8461" width="34.54296875" style="76" customWidth="1"/>
    <col min="8462" max="8462" width="9.1796875" style="76"/>
    <col min="8463" max="8463" width="19" style="76" customWidth="1"/>
    <col min="8464" max="8464" width="9.1796875" style="76"/>
    <col min="8465" max="8465" width="15.7265625" style="76" customWidth="1"/>
    <col min="8466" max="8706" width="9.1796875" style="76"/>
    <col min="8707" max="8707" width="15" style="76" customWidth="1"/>
    <col min="8708" max="8708" width="19.1796875" style="76" bestFit="1" customWidth="1"/>
    <col min="8709" max="8710" width="13.1796875" style="76" customWidth="1"/>
    <col min="8711" max="8711" width="16.453125" style="76" customWidth="1"/>
    <col min="8712" max="8712" width="14" style="76" bestFit="1" customWidth="1"/>
    <col min="8713" max="8713" width="12.26953125" style="76" customWidth="1"/>
    <col min="8714" max="8714" width="13.54296875" style="76" customWidth="1"/>
    <col min="8715" max="8715" width="9.1796875" style="76"/>
    <col min="8716" max="8716" width="11.7265625" style="76" customWidth="1"/>
    <col min="8717" max="8717" width="34.54296875" style="76" customWidth="1"/>
    <col min="8718" max="8718" width="9.1796875" style="76"/>
    <col min="8719" max="8719" width="19" style="76" customWidth="1"/>
    <col min="8720" max="8720" width="9.1796875" style="76"/>
    <col min="8721" max="8721" width="15.7265625" style="76" customWidth="1"/>
    <col min="8722" max="8962" width="9.1796875" style="76"/>
    <col min="8963" max="8963" width="15" style="76" customWidth="1"/>
    <col min="8964" max="8964" width="19.1796875" style="76" bestFit="1" customWidth="1"/>
    <col min="8965" max="8966" width="13.1796875" style="76" customWidth="1"/>
    <col min="8967" max="8967" width="16.453125" style="76" customWidth="1"/>
    <col min="8968" max="8968" width="14" style="76" bestFit="1" customWidth="1"/>
    <col min="8969" max="8969" width="12.26953125" style="76" customWidth="1"/>
    <col min="8970" max="8970" width="13.54296875" style="76" customWidth="1"/>
    <col min="8971" max="8971" width="9.1796875" style="76"/>
    <col min="8972" max="8972" width="11.7265625" style="76" customWidth="1"/>
    <col min="8973" max="8973" width="34.54296875" style="76" customWidth="1"/>
    <col min="8974" max="8974" width="9.1796875" style="76"/>
    <col min="8975" max="8975" width="19" style="76" customWidth="1"/>
    <col min="8976" max="8976" width="9.1796875" style="76"/>
    <col min="8977" max="8977" width="15.7265625" style="76" customWidth="1"/>
    <col min="8978" max="9218" width="9.1796875" style="76"/>
    <col min="9219" max="9219" width="15" style="76" customWidth="1"/>
    <col min="9220" max="9220" width="19.1796875" style="76" bestFit="1" customWidth="1"/>
    <col min="9221" max="9222" width="13.1796875" style="76" customWidth="1"/>
    <col min="9223" max="9223" width="16.453125" style="76" customWidth="1"/>
    <col min="9224" max="9224" width="14" style="76" bestFit="1" customWidth="1"/>
    <col min="9225" max="9225" width="12.26953125" style="76" customWidth="1"/>
    <col min="9226" max="9226" width="13.54296875" style="76" customWidth="1"/>
    <col min="9227" max="9227" width="9.1796875" style="76"/>
    <col min="9228" max="9228" width="11.7265625" style="76" customWidth="1"/>
    <col min="9229" max="9229" width="34.54296875" style="76" customWidth="1"/>
    <col min="9230" max="9230" width="9.1796875" style="76"/>
    <col min="9231" max="9231" width="19" style="76" customWidth="1"/>
    <col min="9232" max="9232" width="9.1796875" style="76"/>
    <col min="9233" max="9233" width="15.7265625" style="76" customWidth="1"/>
    <col min="9234" max="9474" width="9.1796875" style="76"/>
    <col min="9475" max="9475" width="15" style="76" customWidth="1"/>
    <col min="9476" max="9476" width="19.1796875" style="76" bestFit="1" customWidth="1"/>
    <col min="9477" max="9478" width="13.1796875" style="76" customWidth="1"/>
    <col min="9479" max="9479" width="16.453125" style="76" customWidth="1"/>
    <col min="9480" max="9480" width="14" style="76" bestFit="1" customWidth="1"/>
    <col min="9481" max="9481" width="12.26953125" style="76" customWidth="1"/>
    <col min="9482" max="9482" width="13.54296875" style="76" customWidth="1"/>
    <col min="9483" max="9483" width="9.1796875" style="76"/>
    <col min="9484" max="9484" width="11.7265625" style="76" customWidth="1"/>
    <col min="9485" max="9485" width="34.54296875" style="76" customWidth="1"/>
    <col min="9486" max="9486" width="9.1796875" style="76"/>
    <col min="9487" max="9487" width="19" style="76" customWidth="1"/>
    <col min="9488" max="9488" width="9.1796875" style="76"/>
    <col min="9489" max="9489" width="15.7265625" style="76" customWidth="1"/>
    <col min="9490" max="9730" width="9.1796875" style="76"/>
    <col min="9731" max="9731" width="15" style="76" customWidth="1"/>
    <col min="9732" max="9732" width="19.1796875" style="76" bestFit="1" customWidth="1"/>
    <col min="9733" max="9734" width="13.1796875" style="76" customWidth="1"/>
    <col min="9735" max="9735" width="16.453125" style="76" customWidth="1"/>
    <col min="9736" max="9736" width="14" style="76" bestFit="1" customWidth="1"/>
    <col min="9737" max="9737" width="12.26953125" style="76" customWidth="1"/>
    <col min="9738" max="9738" width="13.54296875" style="76" customWidth="1"/>
    <col min="9739" max="9739" width="9.1796875" style="76"/>
    <col min="9740" max="9740" width="11.7265625" style="76" customWidth="1"/>
    <col min="9741" max="9741" width="34.54296875" style="76" customWidth="1"/>
    <col min="9742" max="9742" width="9.1796875" style="76"/>
    <col min="9743" max="9743" width="19" style="76" customWidth="1"/>
    <col min="9744" max="9744" width="9.1796875" style="76"/>
    <col min="9745" max="9745" width="15.7265625" style="76" customWidth="1"/>
    <col min="9746" max="9986" width="9.1796875" style="76"/>
    <col min="9987" max="9987" width="15" style="76" customWidth="1"/>
    <col min="9988" max="9988" width="19.1796875" style="76" bestFit="1" customWidth="1"/>
    <col min="9989" max="9990" width="13.1796875" style="76" customWidth="1"/>
    <col min="9991" max="9991" width="16.453125" style="76" customWidth="1"/>
    <col min="9992" max="9992" width="14" style="76" bestFit="1" customWidth="1"/>
    <col min="9993" max="9993" width="12.26953125" style="76" customWidth="1"/>
    <col min="9994" max="9994" width="13.54296875" style="76" customWidth="1"/>
    <col min="9995" max="9995" width="9.1796875" style="76"/>
    <col min="9996" max="9996" width="11.7265625" style="76" customWidth="1"/>
    <col min="9997" max="9997" width="34.54296875" style="76" customWidth="1"/>
    <col min="9998" max="9998" width="9.1796875" style="76"/>
    <col min="9999" max="9999" width="19" style="76" customWidth="1"/>
    <col min="10000" max="10000" width="9.1796875" style="76"/>
    <col min="10001" max="10001" width="15.7265625" style="76" customWidth="1"/>
    <col min="10002" max="10242" width="9.1796875" style="76"/>
    <col min="10243" max="10243" width="15" style="76" customWidth="1"/>
    <col min="10244" max="10244" width="19.1796875" style="76" bestFit="1" customWidth="1"/>
    <col min="10245" max="10246" width="13.1796875" style="76" customWidth="1"/>
    <col min="10247" max="10247" width="16.453125" style="76" customWidth="1"/>
    <col min="10248" max="10248" width="14" style="76" bestFit="1" customWidth="1"/>
    <col min="10249" max="10249" width="12.26953125" style="76" customWidth="1"/>
    <col min="10250" max="10250" width="13.54296875" style="76" customWidth="1"/>
    <col min="10251" max="10251" width="9.1796875" style="76"/>
    <col min="10252" max="10252" width="11.7265625" style="76" customWidth="1"/>
    <col min="10253" max="10253" width="34.54296875" style="76" customWidth="1"/>
    <col min="10254" max="10254" width="9.1796875" style="76"/>
    <col min="10255" max="10255" width="19" style="76" customWidth="1"/>
    <col min="10256" max="10256" width="9.1796875" style="76"/>
    <col min="10257" max="10257" width="15.7265625" style="76" customWidth="1"/>
    <col min="10258" max="10498" width="9.1796875" style="76"/>
    <col min="10499" max="10499" width="15" style="76" customWidth="1"/>
    <col min="10500" max="10500" width="19.1796875" style="76" bestFit="1" customWidth="1"/>
    <col min="10501" max="10502" width="13.1796875" style="76" customWidth="1"/>
    <col min="10503" max="10503" width="16.453125" style="76" customWidth="1"/>
    <col min="10504" max="10504" width="14" style="76" bestFit="1" customWidth="1"/>
    <col min="10505" max="10505" width="12.26953125" style="76" customWidth="1"/>
    <col min="10506" max="10506" width="13.54296875" style="76" customWidth="1"/>
    <col min="10507" max="10507" width="9.1796875" style="76"/>
    <col min="10508" max="10508" width="11.7265625" style="76" customWidth="1"/>
    <col min="10509" max="10509" width="34.54296875" style="76" customWidth="1"/>
    <col min="10510" max="10510" width="9.1796875" style="76"/>
    <col min="10511" max="10511" width="19" style="76" customWidth="1"/>
    <col min="10512" max="10512" width="9.1796875" style="76"/>
    <col min="10513" max="10513" width="15.7265625" style="76" customWidth="1"/>
    <col min="10514" max="10754" width="9.1796875" style="76"/>
    <col min="10755" max="10755" width="15" style="76" customWidth="1"/>
    <col min="10756" max="10756" width="19.1796875" style="76" bestFit="1" customWidth="1"/>
    <col min="10757" max="10758" width="13.1796875" style="76" customWidth="1"/>
    <col min="10759" max="10759" width="16.453125" style="76" customWidth="1"/>
    <col min="10760" max="10760" width="14" style="76" bestFit="1" customWidth="1"/>
    <col min="10761" max="10761" width="12.26953125" style="76" customWidth="1"/>
    <col min="10762" max="10762" width="13.54296875" style="76" customWidth="1"/>
    <col min="10763" max="10763" width="9.1796875" style="76"/>
    <col min="10764" max="10764" width="11.7265625" style="76" customWidth="1"/>
    <col min="10765" max="10765" width="34.54296875" style="76" customWidth="1"/>
    <col min="10766" max="10766" width="9.1796875" style="76"/>
    <col min="10767" max="10767" width="19" style="76" customWidth="1"/>
    <col min="10768" max="10768" width="9.1796875" style="76"/>
    <col min="10769" max="10769" width="15.7265625" style="76" customWidth="1"/>
    <col min="10770" max="11010" width="9.1796875" style="76"/>
    <col min="11011" max="11011" width="15" style="76" customWidth="1"/>
    <col min="11012" max="11012" width="19.1796875" style="76" bestFit="1" customWidth="1"/>
    <col min="11013" max="11014" width="13.1796875" style="76" customWidth="1"/>
    <col min="11015" max="11015" width="16.453125" style="76" customWidth="1"/>
    <col min="11016" max="11016" width="14" style="76" bestFit="1" customWidth="1"/>
    <col min="11017" max="11017" width="12.26953125" style="76" customWidth="1"/>
    <col min="11018" max="11018" width="13.54296875" style="76" customWidth="1"/>
    <col min="11019" max="11019" width="9.1796875" style="76"/>
    <col min="11020" max="11020" width="11.7265625" style="76" customWidth="1"/>
    <col min="11021" max="11021" width="34.54296875" style="76" customWidth="1"/>
    <col min="11022" max="11022" width="9.1796875" style="76"/>
    <col min="11023" max="11023" width="19" style="76" customWidth="1"/>
    <col min="11024" max="11024" width="9.1796875" style="76"/>
    <col min="11025" max="11025" width="15.7265625" style="76" customWidth="1"/>
    <col min="11026" max="11266" width="9.1796875" style="76"/>
    <col min="11267" max="11267" width="15" style="76" customWidth="1"/>
    <col min="11268" max="11268" width="19.1796875" style="76" bestFit="1" customWidth="1"/>
    <col min="11269" max="11270" width="13.1796875" style="76" customWidth="1"/>
    <col min="11271" max="11271" width="16.453125" style="76" customWidth="1"/>
    <col min="11272" max="11272" width="14" style="76" bestFit="1" customWidth="1"/>
    <col min="11273" max="11273" width="12.26953125" style="76" customWidth="1"/>
    <col min="11274" max="11274" width="13.54296875" style="76" customWidth="1"/>
    <col min="11275" max="11275" width="9.1796875" style="76"/>
    <col min="11276" max="11276" width="11.7265625" style="76" customWidth="1"/>
    <col min="11277" max="11277" width="34.54296875" style="76" customWidth="1"/>
    <col min="11278" max="11278" width="9.1796875" style="76"/>
    <col min="11279" max="11279" width="19" style="76" customWidth="1"/>
    <col min="11280" max="11280" width="9.1796875" style="76"/>
    <col min="11281" max="11281" width="15.7265625" style="76" customWidth="1"/>
    <col min="11282" max="11522" width="9.1796875" style="76"/>
    <col min="11523" max="11523" width="15" style="76" customWidth="1"/>
    <col min="11524" max="11524" width="19.1796875" style="76" bestFit="1" customWidth="1"/>
    <col min="11525" max="11526" width="13.1796875" style="76" customWidth="1"/>
    <col min="11527" max="11527" width="16.453125" style="76" customWidth="1"/>
    <col min="11528" max="11528" width="14" style="76" bestFit="1" customWidth="1"/>
    <col min="11529" max="11529" width="12.26953125" style="76" customWidth="1"/>
    <col min="11530" max="11530" width="13.54296875" style="76" customWidth="1"/>
    <col min="11531" max="11531" width="9.1796875" style="76"/>
    <col min="11532" max="11532" width="11.7265625" style="76" customWidth="1"/>
    <col min="11533" max="11533" width="34.54296875" style="76" customWidth="1"/>
    <col min="11534" max="11534" width="9.1796875" style="76"/>
    <col min="11535" max="11535" width="19" style="76" customWidth="1"/>
    <col min="11536" max="11536" width="9.1796875" style="76"/>
    <col min="11537" max="11537" width="15.7265625" style="76" customWidth="1"/>
    <col min="11538" max="11778" width="9.1796875" style="76"/>
    <col min="11779" max="11779" width="15" style="76" customWidth="1"/>
    <col min="11780" max="11780" width="19.1796875" style="76" bestFit="1" customWidth="1"/>
    <col min="11781" max="11782" width="13.1796875" style="76" customWidth="1"/>
    <col min="11783" max="11783" width="16.453125" style="76" customWidth="1"/>
    <col min="11784" max="11784" width="14" style="76" bestFit="1" customWidth="1"/>
    <col min="11785" max="11785" width="12.26953125" style="76" customWidth="1"/>
    <col min="11786" max="11786" width="13.54296875" style="76" customWidth="1"/>
    <col min="11787" max="11787" width="9.1796875" style="76"/>
    <col min="11788" max="11788" width="11.7265625" style="76" customWidth="1"/>
    <col min="11789" max="11789" width="34.54296875" style="76" customWidth="1"/>
    <col min="11790" max="11790" width="9.1796875" style="76"/>
    <col min="11791" max="11791" width="19" style="76" customWidth="1"/>
    <col min="11792" max="11792" width="9.1796875" style="76"/>
    <col min="11793" max="11793" width="15.7265625" style="76" customWidth="1"/>
    <col min="11794" max="12034" width="9.1796875" style="76"/>
    <col min="12035" max="12035" width="15" style="76" customWidth="1"/>
    <col min="12036" max="12036" width="19.1796875" style="76" bestFit="1" customWidth="1"/>
    <col min="12037" max="12038" width="13.1796875" style="76" customWidth="1"/>
    <col min="12039" max="12039" width="16.453125" style="76" customWidth="1"/>
    <col min="12040" max="12040" width="14" style="76" bestFit="1" customWidth="1"/>
    <col min="12041" max="12041" width="12.26953125" style="76" customWidth="1"/>
    <col min="12042" max="12042" width="13.54296875" style="76" customWidth="1"/>
    <col min="12043" max="12043" width="9.1796875" style="76"/>
    <col min="12044" max="12044" width="11.7265625" style="76" customWidth="1"/>
    <col min="12045" max="12045" width="34.54296875" style="76" customWidth="1"/>
    <col min="12046" max="12046" width="9.1796875" style="76"/>
    <col min="12047" max="12047" width="19" style="76" customWidth="1"/>
    <col min="12048" max="12048" width="9.1796875" style="76"/>
    <col min="12049" max="12049" width="15.7265625" style="76" customWidth="1"/>
    <col min="12050" max="12290" width="9.1796875" style="76"/>
    <col min="12291" max="12291" width="15" style="76" customWidth="1"/>
    <col min="12292" max="12292" width="19.1796875" style="76" bestFit="1" customWidth="1"/>
    <col min="12293" max="12294" width="13.1796875" style="76" customWidth="1"/>
    <col min="12295" max="12295" width="16.453125" style="76" customWidth="1"/>
    <col min="12296" max="12296" width="14" style="76" bestFit="1" customWidth="1"/>
    <col min="12297" max="12297" width="12.26953125" style="76" customWidth="1"/>
    <col min="12298" max="12298" width="13.54296875" style="76" customWidth="1"/>
    <col min="12299" max="12299" width="9.1796875" style="76"/>
    <col min="12300" max="12300" width="11.7265625" style="76" customWidth="1"/>
    <col min="12301" max="12301" width="34.54296875" style="76" customWidth="1"/>
    <col min="12302" max="12302" width="9.1796875" style="76"/>
    <col min="12303" max="12303" width="19" style="76" customWidth="1"/>
    <col min="12304" max="12304" width="9.1796875" style="76"/>
    <col min="12305" max="12305" width="15.7265625" style="76" customWidth="1"/>
    <col min="12306" max="12546" width="9.1796875" style="76"/>
    <col min="12547" max="12547" width="15" style="76" customWidth="1"/>
    <col min="12548" max="12548" width="19.1796875" style="76" bestFit="1" customWidth="1"/>
    <col min="12549" max="12550" width="13.1796875" style="76" customWidth="1"/>
    <col min="12551" max="12551" width="16.453125" style="76" customWidth="1"/>
    <col min="12552" max="12552" width="14" style="76" bestFit="1" customWidth="1"/>
    <col min="12553" max="12553" width="12.26953125" style="76" customWidth="1"/>
    <col min="12554" max="12554" width="13.54296875" style="76" customWidth="1"/>
    <col min="12555" max="12555" width="9.1796875" style="76"/>
    <col min="12556" max="12556" width="11.7265625" style="76" customWidth="1"/>
    <col min="12557" max="12557" width="34.54296875" style="76" customWidth="1"/>
    <col min="12558" max="12558" width="9.1796875" style="76"/>
    <col min="12559" max="12559" width="19" style="76" customWidth="1"/>
    <col min="12560" max="12560" width="9.1796875" style="76"/>
    <col min="12561" max="12561" width="15.7265625" style="76" customWidth="1"/>
    <col min="12562" max="12802" width="9.1796875" style="76"/>
    <col min="12803" max="12803" width="15" style="76" customWidth="1"/>
    <col min="12804" max="12804" width="19.1796875" style="76" bestFit="1" customWidth="1"/>
    <col min="12805" max="12806" width="13.1796875" style="76" customWidth="1"/>
    <col min="12807" max="12807" width="16.453125" style="76" customWidth="1"/>
    <col min="12808" max="12808" width="14" style="76" bestFit="1" customWidth="1"/>
    <col min="12809" max="12809" width="12.26953125" style="76" customWidth="1"/>
    <col min="12810" max="12810" width="13.54296875" style="76" customWidth="1"/>
    <col min="12811" max="12811" width="9.1796875" style="76"/>
    <col min="12812" max="12812" width="11.7265625" style="76" customWidth="1"/>
    <col min="12813" max="12813" width="34.54296875" style="76" customWidth="1"/>
    <col min="12814" max="12814" width="9.1796875" style="76"/>
    <col min="12815" max="12815" width="19" style="76" customWidth="1"/>
    <col min="12816" max="12816" width="9.1796875" style="76"/>
    <col min="12817" max="12817" width="15.7265625" style="76" customWidth="1"/>
    <col min="12818" max="13058" width="9.1796875" style="76"/>
    <col min="13059" max="13059" width="15" style="76" customWidth="1"/>
    <col min="13060" max="13060" width="19.1796875" style="76" bestFit="1" customWidth="1"/>
    <col min="13061" max="13062" width="13.1796875" style="76" customWidth="1"/>
    <col min="13063" max="13063" width="16.453125" style="76" customWidth="1"/>
    <col min="13064" max="13064" width="14" style="76" bestFit="1" customWidth="1"/>
    <col min="13065" max="13065" width="12.26953125" style="76" customWidth="1"/>
    <col min="13066" max="13066" width="13.54296875" style="76" customWidth="1"/>
    <col min="13067" max="13067" width="9.1796875" style="76"/>
    <col min="13068" max="13068" width="11.7265625" style="76" customWidth="1"/>
    <col min="13069" max="13069" width="34.54296875" style="76" customWidth="1"/>
    <col min="13070" max="13070" width="9.1796875" style="76"/>
    <col min="13071" max="13071" width="19" style="76" customWidth="1"/>
    <col min="13072" max="13072" width="9.1796875" style="76"/>
    <col min="13073" max="13073" width="15.7265625" style="76" customWidth="1"/>
    <col min="13074" max="13314" width="9.1796875" style="76"/>
    <col min="13315" max="13315" width="15" style="76" customWidth="1"/>
    <col min="13316" max="13316" width="19.1796875" style="76" bestFit="1" customWidth="1"/>
    <col min="13317" max="13318" width="13.1796875" style="76" customWidth="1"/>
    <col min="13319" max="13319" width="16.453125" style="76" customWidth="1"/>
    <col min="13320" max="13320" width="14" style="76" bestFit="1" customWidth="1"/>
    <col min="13321" max="13321" width="12.26953125" style="76" customWidth="1"/>
    <col min="13322" max="13322" width="13.54296875" style="76" customWidth="1"/>
    <col min="13323" max="13323" width="9.1796875" style="76"/>
    <col min="13324" max="13324" width="11.7265625" style="76" customWidth="1"/>
    <col min="13325" max="13325" width="34.54296875" style="76" customWidth="1"/>
    <col min="13326" max="13326" width="9.1796875" style="76"/>
    <col min="13327" max="13327" width="19" style="76" customWidth="1"/>
    <col min="13328" max="13328" width="9.1796875" style="76"/>
    <col min="13329" max="13329" width="15.7265625" style="76" customWidth="1"/>
    <col min="13330" max="13570" width="9.1796875" style="76"/>
    <col min="13571" max="13571" width="15" style="76" customWidth="1"/>
    <col min="13572" max="13572" width="19.1796875" style="76" bestFit="1" customWidth="1"/>
    <col min="13573" max="13574" width="13.1796875" style="76" customWidth="1"/>
    <col min="13575" max="13575" width="16.453125" style="76" customWidth="1"/>
    <col min="13576" max="13576" width="14" style="76" bestFit="1" customWidth="1"/>
    <col min="13577" max="13577" width="12.26953125" style="76" customWidth="1"/>
    <col min="13578" max="13578" width="13.54296875" style="76" customWidth="1"/>
    <col min="13579" max="13579" width="9.1796875" style="76"/>
    <col min="13580" max="13580" width="11.7265625" style="76" customWidth="1"/>
    <col min="13581" max="13581" width="34.54296875" style="76" customWidth="1"/>
    <col min="13582" max="13582" width="9.1796875" style="76"/>
    <col min="13583" max="13583" width="19" style="76" customWidth="1"/>
    <col min="13584" max="13584" width="9.1796875" style="76"/>
    <col min="13585" max="13585" width="15.7265625" style="76" customWidth="1"/>
    <col min="13586" max="13826" width="9.1796875" style="76"/>
    <col min="13827" max="13827" width="15" style="76" customWidth="1"/>
    <col min="13828" max="13828" width="19.1796875" style="76" bestFit="1" customWidth="1"/>
    <col min="13829" max="13830" width="13.1796875" style="76" customWidth="1"/>
    <col min="13831" max="13831" width="16.453125" style="76" customWidth="1"/>
    <col min="13832" max="13832" width="14" style="76" bestFit="1" customWidth="1"/>
    <col min="13833" max="13833" width="12.26953125" style="76" customWidth="1"/>
    <col min="13834" max="13834" width="13.54296875" style="76" customWidth="1"/>
    <col min="13835" max="13835" width="9.1796875" style="76"/>
    <col min="13836" max="13836" width="11.7265625" style="76" customWidth="1"/>
    <col min="13837" max="13837" width="34.54296875" style="76" customWidth="1"/>
    <col min="13838" max="13838" width="9.1796875" style="76"/>
    <col min="13839" max="13839" width="19" style="76" customWidth="1"/>
    <col min="13840" max="13840" width="9.1796875" style="76"/>
    <col min="13841" max="13841" width="15.7265625" style="76" customWidth="1"/>
    <col min="13842" max="14082" width="9.1796875" style="76"/>
    <col min="14083" max="14083" width="15" style="76" customWidth="1"/>
    <col min="14084" max="14084" width="19.1796875" style="76" bestFit="1" customWidth="1"/>
    <col min="14085" max="14086" width="13.1796875" style="76" customWidth="1"/>
    <col min="14087" max="14087" width="16.453125" style="76" customWidth="1"/>
    <col min="14088" max="14088" width="14" style="76" bestFit="1" customWidth="1"/>
    <col min="14089" max="14089" width="12.26953125" style="76" customWidth="1"/>
    <col min="14090" max="14090" width="13.54296875" style="76" customWidth="1"/>
    <col min="14091" max="14091" width="9.1796875" style="76"/>
    <col min="14092" max="14092" width="11.7265625" style="76" customWidth="1"/>
    <col min="14093" max="14093" width="34.54296875" style="76" customWidth="1"/>
    <col min="14094" max="14094" width="9.1796875" style="76"/>
    <col min="14095" max="14095" width="19" style="76" customWidth="1"/>
    <col min="14096" max="14096" width="9.1796875" style="76"/>
    <col min="14097" max="14097" width="15.7265625" style="76" customWidth="1"/>
    <col min="14098" max="14338" width="9.1796875" style="76"/>
    <col min="14339" max="14339" width="15" style="76" customWidth="1"/>
    <col min="14340" max="14340" width="19.1796875" style="76" bestFit="1" customWidth="1"/>
    <col min="14341" max="14342" width="13.1796875" style="76" customWidth="1"/>
    <col min="14343" max="14343" width="16.453125" style="76" customWidth="1"/>
    <col min="14344" max="14344" width="14" style="76" bestFit="1" customWidth="1"/>
    <col min="14345" max="14345" width="12.26953125" style="76" customWidth="1"/>
    <col min="14346" max="14346" width="13.54296875" style="76" customWidth="1"/>
    <col min="14347" max="14347" width="9.1796875" style="76"/>
    <col min="14348" max="14348" width="11.7265625" style="76" customWidth="1"/>
    <col min="14349" max="14349" width="34.54296875" style="76" customWidth="1"/>
    <col min="14350" max="14350" width="9.1796875" style="76"/>
    <col min="14351" max="14351" width="19" style="76" customWidth="1"/>
    <col min="14352" max="14352" width="9.1796875" style="76"/>
    <col min="14353" max="14353" width="15.7265625" style="76" customWidth="1"/>
    <col min="14354" max="14594" width="9.1796875" style="76"/>
    <col min="14595" max="14595" width="15" style="76" customWidth="1"/>
    <col min="14596" max="14596" width="19.1796875" style="76" bestFit="1" customWidth="1"/>
    <col min="14597" max="14598" width="13.1796875" style="76" customWidth="1"/>
    <col min="14599" max="14599" width="16.453125" style="76" customWidth="1"/>
    <col min="14600" max="14600" width="14" style="76" bestFit="1" customWidth="1"/>
    <col min="14601" max="14601" width="12.26953125" style="76" customWidth="1"/>
    <col min="14602" max="14602" width="13.54296875" style="76" customWidth="1"/>
    <col min="14603" max="14603" width="9.1796875" style="76"/>
    <col min="14604" max="14604" width="11.7265625" style="76" customWidth="1"/>
    <col min="14605" max="14605" width="34.54296875" style="76" customWidth="1"/>
    <col min="14606" max="14606" width="9.1796875" style="76"/>
    <col min="14607" max="14607" width="19" style="76" customWidth="1"/>
    <col min="14608" max="14608" width="9.1796875" style="76"/>
    <col min="14609" max="14609" width="15.7265625" style="76" customWidth="1"/>
    <col min="14610" max="14850" width="9.1796875" style="76"/>
    <col min="14851" max="14851" width="15" style="76" customWidth="1"/>
    <col min="14852" max="14852" width="19.1796875" style="76" bestFit="1" customWidth="1"/>
    <col min="14853" max="14854" width="13.1796875" style="76" customWidth="1"/>
    <col min="14855" max="14855" width="16.453125" style="76" customWidth="1"/>
    <col min="14856" max="14856" width="14" style="76" bestFit="1" customWidth="1"/>
    <col min="14857" max="14857" width="12.26953125" style="76" customWidth="1"/>
    <col min="14858" max="14858" width="13.54296875" style="76" customWidth="1"/>
    <col min="14859" max="14859" width="9.1796875" style="76"/>
    <col min="14860" max="14860" width="11.7265625" style="76" customWidth="1"/>
    <col min="14861" max="14861" width="34.54296875" style="76" customWidth="1"/>
    <col min="14862" max="14862" width="9.1796875" style="76"/>
    <col min="14863" max="14863" width="19" style="76" customWidth="1"/>
    <col min="14864" max="14864" width="9.1796875" style="76"/>
    <col min="14865" max="14865" width="15.7265625" style="76" customWidth="1"/>
    <col min="14866" max="15106" width="9.1796875" style="76"/>
    <col min="15107" max="15107" width="15" style="76" customWidth="1"/>
    <col min="15108" max="15108" width="19.1796875" style="76" bestFit="1" customWidth="1"/>
    <col min="15109" max="15110" width="13.1796875" style="76" customWidth="1"/>
    <col min="15111" max="15111" width="16.453125" style="76" customWidth="1"/>
    <col min="15112" max="15112" width="14" style="76" bestFit="1" customWidth="1"/>
    <col min="15113" max="15113" width="12.26953125" style="76" customWidth="1"/>
    <col min="15114" max="15114" width="13.54296875" style="76" customWidth="1"/>
    <col min="15115" max="15115" width="9.1796875" style="76"/>
    <col min="15116" max="15116" width="11.7265625" style="76" customWidth="1"/>
    <col min="15117" max="15117" width="34.54296875" style="76" customWidth="1"/>
    <col min="15118" max="15118" width="9.1796875" style="76"/>
    <col min="15119" max="15119" width="19" style="76" customWidth="1"/>
    <col min="15120" max="15120" width="9.1796875" style="76"/>
    <col min="15121" max="15121" width="15.7265625" style="76" customWidth="1"/>
    <col min="15122" max="15362" width="9.1796875" style="76"/>
    <col min="15363" max="15363" width="15" style="76" customWidth="1"/>
    <col min="15364" max="15364" width="19.1796875" style="76" bestFit="1" customWidth="1"/>
    <col min="15365" max="15366" width="13.1796875" style="76" customWidth="1"/>
    <col min="15367" max="15367" width="16.453125" style="76" customWidth="1"/>
    <col min="15368" max="15368" width="14" style="76" bestFit="1" customWidth="1"/>
    <col min="15369" max="15369" width="12.26953125" style="76" customWidth="1"/>
    <col min="15370" max="15370" width="13.54296875" style="76" customWidth="1"/>
    <col min="15371" max="15371" width="9.1796875" style="76"/>
    <col min="15372" max="15372" width="11.7265625" style="76" customWidth="1"/>
    <col min="15373" max="15373" width="34.54296875" style="76" customWidth="1"/>
    <col min="15374" max="15374" width="9.1796875" style="76"/>
    <col min="15375" max="15375" width="19" style="76" customWidth="1"/>
    <col min="15376" max="15376" width="9.1796875" style="76"/>
    <col min="15377" max="15377" width="15.7265625" style="76" customWidth="1"/>
    <col min="15378" max="15618" width="9.1796875" style="76"/>
    <col min="15619" max="15619" width="15" style="76" customWidth="1"/>
    <col min="15620" max="15620" width="19.1796875" style="76" bestFit="1" customWidth="1"/>
    <col min="15621" max="15622" width="13.1796875" style="76" customWidth="1"/>
    <col min="15623" max="15623" width="16.453125" style="76" customWidth="1"/>
    <col min="15624" max="15624" width="14" style="76" bestFit="1" customWidth="1"/>
    <col min="15625" max="15625" width="12.26953125" style="76" customWidth="1"/>
    <col min="15626" max="15626" width="13.54296875" style="76" customWidth="1"/>
    <col min="15627" max="15627" width="9.1796875" style="76"/>
    <col min="15628" max="15628" width="11.7265625" style="76" customWidth="1"/>
    <col min="15629" max="15629" width="34.54296875" style="76" customWidth="1"/>
    <col min="15630" max="15630" width="9.1796875" style="76"/>
    <col min="15631" max="15631" width="19" style="76" customWidth="1"/>
    <col min="15632" max="15632" width="9.1796875" style="76"/>
    <col min="15633" max="15633" width="15.7265625" style="76" customWidth="1"/>
    <col min="15634" max="15874" width="9.1796875" style="76"/>
    <col min="15875" max="15875" width="15" style="76" customWidth="1"/>
    <col min="15876" max="15876" width="19.1796875" style="76" bestFit="1" customWidth="1"/>
    <col min="15877" max="15878" width="13.1796875" style="76" customWidth="1"/>
    <col min="15879" max="15879" width="16.453125" style="76" customWidth="1"/>
    <col min="15880" max="15880" width="14" style="76" bestFit="1" customWidth="1"/>
    <col min="15881" max="15881" width="12.26953125" style="76" customWidth="1"/>
    <col min="15882" max="15882" width="13.54296875" style="76" customWidth="1"/>
    <col min="15883" max="15883" width="9.1796875" style="76"/>
    <col min="15884" max="15884" width="11.7265625" style="76" customWidth="1"/>
    <col min="15885" max="15885" width="34.54296875" style="76" customWidth="1"/>
    <col min="15886" max="15886" width="9.1796875" style="76"/>
    <col min="15887" max="15887" width="19" style="76" customWidth="1"/>
    <col min="15888" max="15888" width="9.1796875" style="76"/>
    <col min="15889" max="15889" width="15.7265625" style="76" customWidth="1"/>
    <col min="15890" max="16130" width="9.1796875" style="76"/>
    <col min="16131" max="16131" width="15" style="76" customWidth="1"/>
    <col min="16132" max="16132" width="19.1796875" style="76" bestFit="1" customWidth="1"/>
    <col min="16133" max="16134" width="13.1796875" style="76" customWidth="1"/>
    <col min="16135" max="16135" width="16.453125" style="76" customWidth="1"/>
    <col min="16136" max="16136" width="14" style="76" bestFit="1" customWidth="1"/>
    <col min="16137" max="16137" width="12.26953125" style="76" customWidth="1"/>
    <col min="16138" max="16138" width="13.54296875" style="76" customWidth="1"/>
    <col min="16139" max="16139" width="9.1796875" style="76"/>
    <col min="16140" max="16140" width="11.7265625" style="76" customWidth="1"/>
    <col min="16141" max="16141" width="34.54296875" style="76" customWidth="1"/>
    <col min="16142" max="16142" width="9.1796875" style="76"/>
    <col min="16143" max="16143" width="19" style="76" customWidth="1"/>
    <col min="16144" max="16144" width="9.1796875" style="76"/>
    <col min="16145" max="16145" width="15.7265625" style="76" customWidth="1"/>
    <col min="16146" max="16384" width="9.1796875" style="76"/>
  </cols>
  <sheetData>
    <row r="1" spans="1:13" x14ac:dyDescent="0.3">
      <c r="A1" s="75" t="s">
        <v>8</v>
      </c>
    </row>
    <row r="2" spans="1:13" ht="39" x14ac:dyDescent="0.3">
      <c r="A2" s="25" t="s">
        <v>0</v>
      </c>
      <c r="B2" s="25" t="s">
        <v>1</v>
      </c>
      <c r="C2" s="25" t="s">
        <v>36</v>
      </c>
      <c r="D2" s="25" t="s">
        <v>37</v>
      </c>
      <c r="E2" s="25" t="s">
        <v>10</v>
      </c>
      <c r="F2" s="25" t="s">
        <v>28</v>
      </c>
      <c r="G2" s="25" t="s">
        <v>39</v>
      </c>
      <c r="H2" s="25" t="s">
        <v>3</v>
      </c>
      <c r="I2" s="25" t="s">
        <v>11</v>
      </c>
      <c r="J2" s="25" t="s">
        <v>12</v>
      </c>
      <c r="K2" s="25" t="s">
        <v>6</v>
      </c>
      <c r="L2" s="25" t="s">
        <v>13</v>
      </c>
      <c r="M2" s="25" t="s">
        <v>14</v>
      </c>
    </row>
    <row r="3" spans="1:13" ht="26" x14ac:dyDescent="0.3">
      <c r="A3" s="77"/>
      <c r="B3" s="78" t="s">
        <v>34</v>
      </c>
      <c r="C3" s="78" t="s">
        <v>35</v>
      </c>
      <c r="D3" s="78" t="s">
        <v>38</v>
      </c>
      <c r="E3" s="78" t="s">
        <v>10</v>
      </c>
      <c r="F3" s="78"/>
      <c r="G3" s="78"/>
      <c r="H3" s="78" t="s">
        <v>40</v>
      </c>
      <c r="I3" s="40" t="s">
        <v>41</v>
      </c>
      <c r="J3" s="40" t="s">
        <v>5</v>
      </c>
      <c r="K3" s="78" t="s">
        <v>42</v>
      </c>
      <c r="L3" s="78"/>
      <c r="M3" s="78" t="s">
        <v>51</v>
      </c>
    </row>
    <row r="4" spans="1:13" ht="26" x14ac:dyDescent="0.3">
      <c r="A4" s="40">
        <v>1</v>
      </c>
      <c r="B4" s="79">
        <v>42887</v>
      </c>
      <c r="C4" s="40" t="s">
        <v>55</v>
      </c>
      <c r="D4" s="40" t="s">
        <v>53</v>
      </c>
      <c r="E4" s="40" t="s">
        <v>154</v>
      </c>
      <c r="F4" s="40" t="s">
        <v>254</v>
      </c>
      <c r="G4" s="40" t="s">
        <v>244</v>
      </c>
      <c r="H4" s="40" t="s">
        <v>86</v>
      </c>
      <c r="I4" s="40" t="s">
        <v>245</v>
      </c>
      <c r="J4" s="40">
        <v>250</v>
      </c>
      <c r="K4" s="80">
        <v>15</v>
      </c>
      <c r="L4" s="40" t="s">
        <v>92</v>
      </c>
      <c r="M4" s="40" t="s">
        <v>246</v>
      </c>
    </row>
    <row r="5" spans="1:13" ht="26" x14ac:dyDescent="0.3">
      <c r="A5" s="40">
        <v>2</v>
      </c>
      <c r="B5" s="79">
        <v>42887</v>
      </c>
      <c r="C5" s="40" t="s">
        <v>55</v>
      </c>
      <c r="D5" s="40" t="s">
        <v>247</v>
      </c>
      <c r="E5" s="40" t="s">
        <v>209</v>
      </c>
      <c r="F5" s="40" t="s">
        <v>272</v>
      </c>
      <c r="G5" s="40" t="s">
        <v>249</v>
      </c>
      <c r="H5" s="40" t="s">
        <v>75</v>
      </c>
      <c r="I5" s="40" t="s">
        <v>250</v>
      </c>
      <c r="J5" s="40">
        <v>100</v>
      </c>
      <c r="K5" s="80">
        <v>7</v>
      </c>
      <c r="L5" s="40" t="s">
        <v>251</v>
      </c>
      <c r="M5" s="40" t="s">
        <v>252</v>
      </c>
    </row>
    <row r="6" spans="1:13" ht="25.5" customHeight="1" x14ac:dyDescent="0.3">
      <c r="A6" s="41">
        <v>3</v>
      </c>
      <c r="B6" s="81">
        <v>42887</v>
      </c>
      <c r="C6" s="41" t="s">
        <v>55</v>
      </c>
      <c r="D6" s="41" t="s">
        <v>253</v>
      </c>
      <c r="E6" s="41" t="s">
        <v>154</v>
      </c>
      <c r="F6" s="41" t="s">
        <v>254</v>
      </c>
      <c r="G6" s="41" t="s">
        <v>255</v>
      </c>
      <c r="H6" s="41" t="s">
        <v>256</v>
      </c>
      <c r="I6" s="41" t="s">
        <v>250</v>
      </c>
      <c r="J6" s="41">
        <v>1000</v>
      </c>
      <c r="K6" s="41">
        <v>10</v>
      </c>
      <c r="L6" s="41" t="s">
        <v>257</v>
      </c>
      <c r="M6" s="41" t="s">
        <v>258</v>
      </c>
    </row>
    <row r="7" spans="1:13" ht="26" x14ac:dyDescent="0.3">
      <c r="A7" s="40">
        <v>4</v>
      </c>
      <c r="B7" s="82">
        <v>42917</v>
      </c>
      <c r="C7" s="40" t="s">
        <v>83</v>
      </c>
      <c r="D7" s="80" t="s">
        <v>259</v>
      </c>
      <c r="E7" s="80" t="s">
        <v>154</v>
      </c>
      <c r="F7" s="80" t="s">
        <v>254</v>
      </c>
      <c r="G7" s="80" t="s">
        <v>260</v>
      </c>
      <c r="H7" s="40" t="s">
        <v>69</v>
      </c>
      <c r="I7" s="80" t="s">
        <v>102</v>
      </c>
      <c r="J7" s="80"/>
      <c r="K7" s="80">
        <v>20</v>
      </c>
      <c r="L7" s="80" t="s">
        <v>261</v>
      </c>
      <c r="M7" s="80" t="s">
        <v>262</v>
      </c>
    </row>
    <row r="8" spans="1:13" x14ac:dyDescent="0.3">
      <c r="A8" s="40">
        <v>5</v>
      </c>
      <c r="B8" s="79">
        <v>42948</v>
      </c>
      <c r="C8" s="40" t="s">
        <v>83</v>
      </c>
      <c r="D8" s="80" t="s">
        <v>263</v>
      </c>
      <c r="E8" s="80" t="s">
        <v>154</v>
      </c>
      <c r="F8" s="80" t="s">
        <v>248</v>
      </c>
      <c r="G8" s="80" t="s">
        <v>264</v>
      </c>
      <c r="H8" s="40" t="s">
        <v>69</v>
      </c>
      <c r="I8" s="80" t="s">
        <v>65</v>
      </c>
      <c r="J8" s="80"/>
      <c r="K8" s="80">
        <v>65</v>
      </c>
      <c r="L8" s="80" t="s">
        <v>57</v>
      </c>
      <c r="M8" s="80" t="s">
        <v>265</v>
      </c>
    </row>
    <row r="9" spans="1:13" ht="26" x14ac:dyDescent="0.3">
      <c r="A9" s="40">
        <v>6</v>
      </c>
      <c r="B9" s="40" t="s">
        <v>239</v>
      </c>
      <c r="C9" s="40" t="s">
        <v>55</v>
      </c>
      <c r="D9" s="40" t="s">
        <v>266</v>
      </c>
      <c r="E9" s="40" t="s">
        <v>209</v>
      </c>
      <c r="F9" s="80" t="s">
        <v>248</v>
      </c>
      <c r="G9" s="80" t="s">
        <v>264</v>
      </c>
      <c r="H9" s="40" t="s">
        <v>69</v>
      </c>
      <c r="I9" s="40" t="s">
        <v>250</v>
      </c>
      <c r="J9" s="40"/>
      <c r="K9" s="40">
        <v>8</v>
      </c>
      <c r="L9" s="40" t="s">
        <v>57</v>
      </c>
      <c r="M9" s="80" t="s">
        <v>265</v>
      </c>
    </row>
    <row r="10" spans="1:13" x14ac:dyDescent="0.3">
      <c r="A10" s="41">
        <v>7</v>
      </c>
      <c r="B10" s="40" t="s">
        <v>267</v>
      </c>
      <c r="C10" s="40" t="s">
        <v>83</v>
      </c>
      <c r="D10" s="40" t="s">
        <v>284</v>
      </c>
      <c r="E10" s="40" t="s">
        <v>154</v>
      </c>
      <c r="F10" s="40" t="s">
        <v>248</v>
      </c>
      <c r="G10" s="40" t="s">
        <v>282</v>
      </c>
      <c r="H10" s="40" t="s">
        <v>283</v>
      </c>
      <c r="I10" s="40" t="s">
        <v>102</v>
      </c>
      <c r="J10" s="40">
        <v>466</v>
      </c>
      <c r="K10" s="40">
        <v>26</v>
      </c>
      <c r="L10" s="40" t="s">
        <v>294</v>
      </c>
      <c r="M10" s="40" t="s">
        <v>295</v>
      </c>
    </row>
    <row r="11" spans="1:13" x14ac:dyDescent="0.3">
      <c r="A11" s="40">
        <v>8</v>
      </c>
      <c r="B11" s="40" t="s">
        <v>267</v>
      </c>
      <c r="C11" s="40" t="s">
        <v>83</v>
      </c>
      <c r="D11" s="78" t="s">
        <v>285</v>
      </c>
      <c r="E11" s="40" t="s">
        <v>286</v>
      </c>
      <c r="F11" s="40" t="s">
        <v>272</v>
      </c>
      <c r="G11" s="40" t="s">
        <v>287</v>
      </c>
      <c r="H11" s="40" t="s">
        <v>86</v>
      </c>
      <c r="I11" s="40" t="s">
        <v>293</v>
      </c>
      <c r="J11" s="40">
        <v>800</v>
      </c>
      <c r="K11" s="40">
        <v>36</v>
      </c>
      <c r="L11" s="40" t="s">
        <v>296</v>
      </c>
      <c r="M11" s="40" t="s">
        <v>297</v>
      </c>
    </row>
    <row r="12" spans="1:13" x14ac:dyDescent="0.3">
      <c r="A12" s="40">
        <v>9</v>
      </c>
      <c r="B12" s="83" t="s">
        <v>267</v>
      </c>
      <c r="C12" s="40" t="s">
        <v>83</v>
      </c>
      <c r="D12" s="83" t="s">
        <v>304</v>
      </c>
      <c r="E12" s="40" t="s">
        <v>154</v>
      </c>
      <c r="F12" s="40" t="s">
        <v>272</v>
      </c>
      <c r="G12" s="40" t="s">
        <v>305</v>
      </c>
      <c r="H12" s="40" t="s">
        <v>86</v>
      </c>
      <c r="I12" s="78" t="s">
        <v>102</v>
      </c>
      <c r="J12" s="83">
        <v>850</v>
      </c>
      <c r="K12" s="83">
        <v>45</v>
      </c>
      <c r="L12" s="83" t="s">
        <v>306</v>
      </c>
      <c r="M12" s="40" t="s">
        <v>295</v>
      </c>
    </row>
    <row r="13" spans="1:13" x14ac:dyDescent="0.3">
      <c r="A13" s="40">
        <v>10</v>
      </c>
      <c r="B13" s="40" t="s">
        <v>270</v>
      </c>
      <c r="C13" s="40" t="s">
        <v>83</v>
      </c>
      <c r="D13" s="83" t="s">
        <v>301</v>
      </c>
      <c r="E13" s="40" t="s">
        <v>154</v>
      </c>
      <c r="F13" s="40" t="s">
        <v>272</v>
      </c>
      <c r="G13" s="83" t="s">
        <v>303</v>
      </c>
      <c r="H13" s="83" t="s">
        <v>302</v>
      </c>
      <c r="I13" s="78" t="s">
        <v>102</v>
      </c>
      <c r="J13" s="83">
        <v>1500</v>
      </c>
      <c r="K13" s="83">
        <v>5</v>
      </c>
      <c r="L13" s="83" t="s">
        <v>62</v>
      </c>
      <c r="M13" s="40" t="s">
        <v>352</v>
      </c>
    </row>
    <row r="14" spans="1:13" x14ac:dyDescent="0.3">
      <c r="A14" s="40">
        <v>11</v>
      </c>
      <c r="B14" s="40" t="s">
        <v>270</v>
      </c>
      <c r="C14" s="40" t="s">
        <v>83</v>
      </c>
      <c r="D14" s="78" t="s">
        <v>298</v>
      </c>
      <c r="E14" s="40" t="s">
        <v>154</v>
      </c>
      <c r="F14" s="40" t="s">
        <v>272</v>
      </c>
      <c r="G14" s="40" t="s">
        <v>299</v>
      </c>
      <c r="H14" s="40" t="s">
        <v>86</v>
      </c>
      <c r="I14" s="78" t="s">
        <v>102</v>
      </c>
      <c r="J14" s="40">
        <v>300</v>
      </c>
      <c r="K14" s="40">
        <v>8</v>
      </c>
      <c r="L14" s="40" t="s">
        <v>300</v>
      </c>
      <c r="M14" s="40" t="s">
        <v>295</v>
      </c>
    </row>
    <row r="15" spans="1:13" x14ac:dyDescent="0.3">
      <c r="A15" s="83">
        <v>12</v>
      </c>
      <c r="B15" s="83" t="s">
        <v>360</v>
      </c>
      <c r="C15" s="83" t="s">
        <v>319</v>
      </c>
      <c r="D15" s="83" t="s">
        <v>361</v>
      </c>
      <c r="E15" s="83" t="s">
        <v>162</v>
      </c>
      <c r="F15" s="40" t="s">
        <v>272</v>
      </c>
      <c r="G15" s="83" t="s">
        <v>363</v>
      </c>
      <c r="H15" s="83" t="s">
        <v>362</v>
      </c>
      <c r="I15" s="83" t="s">
        <v>77</v>
      </c>
      <c r="J15" s="83">
        <v>60</v>
      </c>
      <c r="K15" s="83">
        <v>102</v>
      </c>
      <c r="L15" s="83" t="s">
        <v>364</v>
      </c>
      <c r="M15" s="83" t="s">
        <v>365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4"/>
  <sheetViews>
    <sheetView zoomScale="115" zoomScaleNormal="115" workbookViewId="0">
      <pane xSplit="4" ySplit="2" topLeftCell="G3" activePane="bottomRight" state="frozen"/>
      <selection activeCell="A3" sqref="A3:A4"/>
      <selection pane="topRight" activeCell="A3" sqref="A3:A4"/>
      <selection pane="bottomLeft" activeCell="A3" sqref="A3:A4"/>
      <selection pane="bottomRight" activeCell="G5" sqref="G5"/>
    </sheetView>
  </sheetViews>
  <sheetFormatPr defaultColWidth="9.1796875" defaultRowHeight="12.5" x14ac:dyDescent="0.25"/>
  <cols>
    <col min="1" max="2" width="9.1796875" style="6"/>
    <col min="3" max="3" width="15" style="6" customWidth="1"/>
    <col min="4" max="4" width="19.1796875" style="6" bestFit="1" customWidth="1"/>
    <col min="5" max="6" width="13.1796875" style="6" customWidth="1"/>
    <col min="7" max="7" width="16.453125" style="6" customWidth="1"/>
    <col min="8" max="8" width="14" style="6" bestFit="1" customWidth="1"/>
    <col min="9" max="9" width="12.26953125" style="6" customWidth="1"/>
    <col min="10" max="10" width="13.54296875" style="6" customWidth="1"/>
    <col min="11" max="11" width="9.1796875" style="6"/>
    <col min="12" max="12" width="11.7265625" style="6" customWidth="1"/>
    <col min="13" max="13" width="29.54296875" style="6" customWidth="1"/>
    <col min="14" max="14" width="9.1796875" style="6"/>
    <col min="15" max="15" width="19" style="6" customWidth="1"/>
    <col min="16" max="16" width="9.1796875" style="6"/>
    <col min="17" max="17" width="15.7265625" style="6" customWidth="1"/>
    <col min="18" max="16384" width="9.1796875" style="6"/>
  </cols>
  <sheetData>
    <row r="1" spans="1:13" x14ac:dyDescent="0.25">
      <c r="A1" s="14" t="s">
        <v>8</v>
      </c>
    </row>
    <row r="2" spans="1:13" ht="39" x14ac:dyDescent="0.25">
      <c r="A2" s="7" t="s">
        <v>0</v>
      </c>
      <c r="B2" s="7" t="s">
        <v>1</v>
      </c>
      <c r="C2" s="7" t="s">
        <v>36</v>
      </c>
      <c r="D2" s="7" t="s">
        <v>37</v>
      </c>
      <c r="E2" s="7" t="s">
        <v>10</v>
      </c>
      <c r="F2" s="7" t="s">
        <v>28</v>
      </c>
      <c r="G2" s="7" t="s">
        <v>39</v>
      </c>
      <c r="H2" s="7" t="s">
        <v>3</v>
      </c>
      <c r="I2" s="7" t="s">
        <v>11</v>
      </c>
      <c r="J2" s="7" t="s">
        <v>12</v>
      </c>
      <c r="K2" s="7" t="s">
        <v>6</v>
      </c>
      <c r="L2" s="7" t="s">
        <v>13</v>
      </c>
      <c r="M2" s="7" t="s">
        <v>14</v>
      </c>
    </row>
    <row r="3" spans="1:13" ht="25" x14ac:dyDescent="0.25">
      <c r="A3" s="8">
        <v>1</v>
      </c>
      <c r="B3" s="2" t="s">
        <v>34</v>
      </c>
      <c r="C3" s="2" t="s">
        <v>35</v>
      </c>
      <c r="D3" s="2" t="s">
        <v>38</v>
      </c>
      <c r="E3" s="2" t="s">
        <v>10</v>
      </c>
      <c r="F3" s="2"/>
      <c r="G3" s="2"/>
      <c r="H3" s="2" t="s">
        <v>40</v>
      </c>
      <c r="I3" s="3" t="s">
        <v>41</v>
      </c>
      <c r="J3" s="3" t="s">
        <v>5</v>
      </c>
      <c r="K3" s="2" t="s">
        <v>42</v>
      </c>
      <c r="L3" s="2"/>
      <c r="M3" s="2" t="s">
        <v>51</v>
      </c>
    </row>
    <row r="4" spans="1:13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4"/>
      <c r="L5" s="5"/>
      <c r="M5" s="5"/>
    </row>
    <row r="6" spans="1:13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4"/>
      <c r="L6" s="5"/>
      <c r="M6" s="5"/>
    </row>
    <row r="7" spans="1:13" x14ac:dyDescent="0.25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</row>
    <row r="8" spans="1:13" x14ac:dyDescent="0.25">
      <c r="A8" s="9"/>
      <c r="B8" s="4"/>
      <c r="C8" s="5"/>
      <c r="D8" s="4"/>
      <c r="E8" s="4"/>
      <c r="F8" s="4"/>
      <c r="G8" s="4"/>
      <c r="H8" s="5"/>
      <c r="I8" s="4"/>
      <c r="J8" s="4"/>
      <c r="K8" s="4"/>
      <c r="L8" s="4"/>
      <c r="M8" s="4"/>
    </row>
    <row r="9" spans="1:13" x14ac:dyDescent="0.25">
      <c r="A9" s="5"/>
      <c r="B9" s="5"/>
      <c r="C9" s="5"/>
      <c r="D9" s="4"/>
      <c r="E9" s="4"/>
      <c r="F9" s="4"/>
      <c r="G9" s="4"/>
      <c r="H9" s="5"/>
      <c r="I9" s="4"/>
      <c r="J9" s="4"/>
      <c r="K9" s="4"/>
      <c r="L9" s="4"/>
      <c r="M9" s="4"/>
    </row>
    <row r="10" spans="1:13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</row>
    <row r="12" spans="1:13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</row>
    <row r="13" spans="1:13" x14ac:dyDescent="0.25">
      <c r="A13" s="10"/>
      <c r="B13" s="10"/>
      <c r="C13" s="3"/>
      <c r="D13" s="11"/>
      <c r="E13" s="3"/>
      <c r="F13" s="3"/>
      <c r="G13" s="3"/>
      <c r="H13" s="3"/>
      <c r="I13" s="3"/>
      <c r="J13" s="3"/>
      <c r="K13" s="10"/>
      <c r="L13" s="3"/>
      <c r="M13" s="3"/>
    </row>
    <row r="14" spans="1:13" x14ac:dyDescent="0.25">
      <c r="A14" s="10"/>
      <c r="B14" s="10"/>
      <c r="C14" s="3"/>
      <c r="D14" s="2"/>
      <c r="E14" s="3"/>
      <c r="F14" s="3"/>
      <c r="G14" s="3"/>
      <c r="H14" s="3"/>
      <c r="I14" s="2"/>
      <c r="J14" s="3"/>
      <c r="K14" s="10"/>
      <c r="L14" s="10"/>
      <c r="M14" s="10"/>
    </row>
  </sheetData>
  <autoFilter ref="A2:M14" xr:uid="{00000000-0009-0000-0000-000004000000}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K5"/>
  <sheetViews>
    <sheetView zoomScale="115" zoomScaleNormal="115" workbookViewId="0">
      <pane xSplit="4" ySplit="4" topLeftCell="E5" activePane="bottomRight" state="frozen"/>
      <selection activeCell="A3" sqref="A3"/>
      <selection pane="topRight" activeCell="A3" sqref="A3"/>
      <selection pane="bottomLeft" activeCell="A3" sqref="A3"/>
      <selection pane="bottomRight" activeCell="F18" sqref="F18"/>
    </sheetView>
  </sheetViews>
  <sheetFormatPr defaultColWidth="9.1796875" defaultRowHeight="12.5" x14ac:dyDescent="0.25"/>
  <cols>
    <col min="1" max="1" width="6.54296875" style="12" customWidth="1"/>
    <col min="2" max="2" width="8.81640625" style="12" customWidth="1"/>
    <col min="3" max="3" width="11.453125" style="12" customWidth="1"/>
    <col min="4" max="4" width="19.7265625" style="12" bestFit="1" customWidth="1"/>
    <col min="5" max="5" width="12.81640625" style="12" bestFit="1" customWidth="1"/>
    <col min="6" max="6" width="12.81640625" style="12" customWidth="1"/>
    <col min="7" max="7" width="23.26953125" style="12" customWidth="1"/>
    <col min="8" max="8" width="11.81640625" style="12" customWidth="1"/>
    <col min="9" max="9" width="8.7265625" style="12" bestFit="1" customWidth="1"/>
    <col min="10" max="10" width="12.7265625" style="12" customWidth="1"/>
    <col min="11" max="11" width="19" style="12" customWidth="1"/>
    <col min="12" max="16384" width="9.1796875" style="12"/>
  </cols>
  <sheetData>
    <row r="2" spans="1:11" x14ac:dyDescent="0.25">
      <c r="A2" s="102" t="s">
        <v>15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</row>
    <row r="3" spans="1:11" s="1" customFormat="1" x14ac:dyDescent="0.25">
      <c r="A3" s="104" t="s">
        <v>16</v>
      </c>
      <c r="B3" s="104" t="s">
        <v>17</v>
      </c>
      <c r="C3" s="104" t="s">
        <v>9</v>
      </c>
      <c r="D3" s="104" t="s">
        <v>2</v>
      </c>
      <c r="E3" s="104" t="s">
        <v>18</v>
      </c>
      <c r="F3" s="13"/>
      <c r="G3" s="104" t="s">
        <v>4</v>
      </c>
      <c r="H3" s="13" t="s">
        <v>19</v>
      </c>
      <c r="I3" s="104" t="s">
        <v>12</v>
      </c>
      <c r="J3" s="104" t="s">
        <v>20</v>
      </c>
      <c r="K3" s="13"/>
    </row>
    <row r="4" spans="1:11" s="1" customFormat="1" x14ac:dyDescent="0.25">
      <c r="A4" s="104"/>
      <c r="B4" s="104"/>
      <c r="C4" s="104"/>
      <c r="D4" s="104"/>
      <c r="E4" s="104"/>
      <c r="F4" s="13" t="s">
        <v>46</v>
      </c>
      <c r="G4" s="104"/>
      <c r="H4" s="13" t="s">
        <v>21</v>
      </c>
      <c r="I4" s="104"/>
      <c r="J4" s="104"/>
      <c r="K4" s="13" t="s">
        <v>49</v>
      </c>
    </row>
    <row r="5" spans="1:11" s="1" customFormat="1" ht="51.75" customHeight="1" x14ac:dyDescent="0.25">
      <c r="A5" s="5">
        <v>1</v>
      </c>
      <c r="B5" s="5" t="s">
        <v>43</v>
      </c>
      <c r="C5" s="5" t="s">
        <v>44</v>
      </c>
      <c r="D5" s="5" t="s">
        <v>45</v>
      </c>
      <c r="E5" s="5" t="s">
        <v>10</v>
      </c>
      <c r="F5" s="5" t="s">
        <v>52</v>
      </c>
      <c r="G5" s="5" t="s">
        <v>47</v>
      </c>
      <c r="H5" s="5" t="s">
        <v>33</v>
      </c>
      <c r="I5" s="5" t="s">
        <v>48</v>
      </c>
      <c r="J5" s="5">
        <v>4</v>
      </c>
      <c r="K5" s="5" t="s">
        <v>50</v>
      </c>
    </row>
  </sheetData>
  <mergeCells count="9">
    <mergeCell ref="A2:K2"/>
    <mergeCell ref="A3:A4"/>
    <mergeCell ref="B3:B4"/>
    <mergeCell ref="C3:C4"/>
    <mergeCell ref="D3:D4"/>
    <mergeCell ref="E3:E4"/>
    <mergeCell ref="G3:G4"/>
    <mergeCell ref="I3:I4"/>
    <mergeCell ref="J3:J4"/>
  </mergeCells>
  <pageMargins left="0.75" right="0.75" top="1" bottom="1" header="0.5" footer="0.5"/>
  <pageSetup paperSize="9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Enquiry Bank</vt:lpstr>
      <vt:lpstr>MUST WIN</vt:lpstr>
      <vt:lpstr>Order Received</vt:lpstr>
      <vt:lpstr>Order Lost</vt:lpstr>
      <vt:lpstr>Lost Analysis</vt:lpstr>
      <vt:lpstr>Received Order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hitesh.kapadia</dc:creator>
  <cp:lastModifiedBy>ADMIN</cp:lastModifiedBy>
  <dcterms:created xsi:type="dcterms:W3CDTF">2017-01-02T01:48:25Z</dcterms:created>
  <dcterms:modified xsi:type="dcterms:W3CDTF">2025-08-13T06:17:47Z</dcterms:modified>
</cp:coreProperties>
</file>